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iwaxr\Desktop\禧悦兴城\"/>
    </mc:Choice>
  </mc:AlternateContent>
  <xr:revisionPtr revIDLastSave="0" documentId="13_ncr:1_{F004B2AB-B564-45B2-92B5-92FB92538479}" xr6:coauthVersionLast="47" xr6:coauthVersionMax="47" xr10:uidLastSave="{00000000-0000-0000-0000-000000000000}"/>
  <bookViews>
    <workbookView xWindow="7110" yWindow="3700" windowWidth="14250" windowHeight="15370" xr2:uid="{A4B56C8A-71CA-49FB-B1EE-21C4417B348A}"/>
  </bookViews>
  <sheets>
    <sheet name="时间线" sheetId="9" r:id="rId1"/>
    <sheet name="时间线总结" sheetId="10" r:id="rId2"/>
    <sheet name="购房资金流出" sheetId="1" r:id="rId3"/>
    <sheet name="装修预算（半包 全包对比）" sheetId="3" r:id="rId4"/>
    <sheet name="半包自购清单" sheetId="4" r:id="rId5"/>
    <sheet name="月度现金流时间线（核心表）" sheetId="6" r:id="rId6"/>
    <sheet name="关键提醒清单" sheetId="7" r:id="rId7"/>
  </sheets>
  <definedNames>
    <definedName name="_xlnm._FilterDatabase" localSheetId="0" hidden="1">时间线!$A$2:$AP$164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6" l="1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3" i="6"/>
  <c r="D18" i="6"/>
  <c r="E18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3" i="6"/>
  <c r="J3" i="4"/>
  <c r="J4" i="4"/>
  <c r="J5" i="4"/>
  <c r="J6" i="4"/>
  <c r="J7" i="4"/>
  <c r="J8" i="4"/>
  <c r="J9" i="4"/>
  <c r="J10" i="4"/>
  <c r="J11" i="4"/>
  <c r="J12" i="4"/>
  <c r="J13" i="4"/>
  <c r="J2" i="4"/>
</calcChain>
</file>

<file path=xl/sharedStrings.xml><?xml version="1.0" encoding="utf-8"?>
<sst xmlns="http://schemas.openxmlformats.org/spreadsheetml/2006/main" count="758" uniqueCount="203">
  <si>
    <t>时间节点</t>
  </si>
  <si>
    <t>事项</t>
  </si>
  <si>
    <t>计算方式</t>
  </si>
  <si>
    <t>金额（元）</t>
  </si>
  <si>
    <t>状态</t>
  </si>
  <si>
    <t>签约当天</t>
  </si>
  <si>
    <t>定金</t>
  </si>
  <si>
    <t>填实际数</t>
  </si>
  <si>
    <t>填</t>
  </si>
  <si>
    <t>待填</t>
  </si>
  <si>
    <t>签约后约7天</t>
  </si>
  <si>
    <t>首付（30%）</t>
  </si>
  <si>
    <t>2480000×30%</t>
  </si>
  <si>
    <t>确定</t>
  </si>
  <si>
    <t>网签后办证前</t>
  </si>
  <si>
    <t>契税（1%）</t>
  </si>
  <si>
    <t>2480000×1%</t>
  </si>
  <si>
    <t>交房时</t>
  </si>
  <si>
    <t>维修基金</t>
  </si>
  <si>
    <t>89×200</t>
  </si>
  <si>
    <t>一年物业费</t>
  </si>
  <si>
    <t>89×2.5×12</t>
  </si>
  <si>
    <t>预估</t>
  </si>
  <si>
    <t>装修押金（可退）</t>
  </si>
  <si>
    <t>3000~5000</t>
  </si>
  <si>
    <t>合计（不含首付）</t>
  </si>
  <si>
    <t>约50270~52270</t>
  </si>
  <si>
    <t>项目</t>
  </si>
  <si>
    <t>施工+辅材</t>
  </si>
  <si>
    <t>主材</t>
  </si>
  <si>
    <t>总落地预估</t>
  </si>
  <si>
    <t>适合情况</t>
  </si>
  <si>
    <t>半包·简装</t>
  </si>
  <si>
    <t>6.7~8.5万</t>
  </si>
  <si>
    <t>5~7万</t>
  </si>
  <si>
    <t>12~15万</t>
  </si>
  <si>
    <t>有时间跑建材、控预算</t>
  </si>
  <si>
    <t>半包·中档</t>
  </si>
  <si>
    <t>8~11万</t>
  </si>
  <si>
    <t>6~10万</t>
  </si>
  <si>
    <t>14~21万</t>
  </si>
  <si>
    <t>推荐：性价比+可控</t>
  </si>
  <si>
    <t>全包·中档</t>
  </si>
  <si>
    <t>含主材</t>
  </si>
  <si>
    <t>套餐内</t>
  </si>
  <si>
    <t>15~20万</t>
  </si>
  <si>
    <t>上班忙、不想操心</t>
  </si>
  <si>
    <t>全包·高档</t>
  </si>
  <si>
    <t>20~26万</t>
  </si>
  <si>
    <t>追求省心+品牌</t>
  </si>
  <si>
    <t>类别</t>
  </si>
  <si>
    <t>数量</t>
  </si>
  <si>
    <t>购买渠道</t>
  </si>
  <si>
    <t>备注</t>
  </si>
  <si>
    <t>强化复合性价比高</t>
  </si>
  <si>
    <t>实木复合即可</t>
  </si>
  <si>
    <t>橱柜</t>
  </si>
  <si>
    <t>小户型3~4延米</t>
  </si>
  <si>
    <t>全屋灯具</t>
  </si>
  <si>
    <t>网购</t>
  </si>
  <si>
    <t>开关插座</t>
  </si>
  <si>
    <t>备用金</t>
  </si>
  <si>
    <t>总预算10~15%</t>
  </si>
  <si>
    <t>月份</t>
  </si>
  <si>
    <t>工资进账（税后）</t>
  </si>
  <si>
    <t>公积金到账</t>
  </si>
  <si>
    <t>房贷月供</t>
  </si>
  <si>
    <t>月末结余</t>
  </si>
  <si>
    <t>#</t>
  </si>
  <si>
    <t>提醒</t>
  </si>
  <si>
    <t>说明</t>
  </si>
  <si>
    <t>月供备用金</t>
  </si>
  <si>
    <t>首付之外单独留3~6个月月供（约2.1~4.2万），防断供</t>
  </si>
  <si>
    <t>装修应急金</t>
  </si>
  <si>
    <t>总装修预算10~15%单独放一张卡，不到万不得已不动</t>
  </si>
  <si>
    <t>工资到账即分流</t>
  </si>
  <si>
    <t>当天转入"房贷卡""装修卡""生活卡"，避免混花</t>
  </si>
  <si>
    <t>公积金批贷前置</t>
  </si>
  <si>
    <t>主贷人缴存年限≥5年，否则额度不够173.6万</t>
  </si>
  <si>
    <t>契税/维修基金单独预留</t>
  </si>
  <si>
    <t>约4.26万，不要和首付混在一起</t>
  </si>
  <si>
    <t>装修合同增项</t>
  </si>
  <si>
    <t>任何增项必须书面确认，拒绝口头承诺</t>
  </si>
  <si>
    <t>尾款留10%</t>
  </si>
  <si>
    <t>入住一个月无问题再结清</t>
  </si>
  <si>
    <t>序号</t>
  </si>
  <si>
    <t>品牌/型号</t>
  </si>
  <si>
    <t>规格/尺寸</t>
  </si>
  <si>
    <t>色号/批号</t>
  </si>
  <si>
    <t>环保等级</t>
  </si>
  <si>
    <t>单价</t>
  </si>
  <si>
    <t>预算金额</t>
  </si>
  <si>
    <t>实际支付</t>
  </si>
  <si>
    <t>订单号/送货单号</t>
  </si>
  <si>
    <t>瓷砖</t>
  </si>
  <si>
    <t>客餐厅地砖</t>
  </si>
  <si>
    <t>800×800</t>
  </si>
  <si>
    <t>收货时填</t>
  </si>
  <si>
    <t>损耗5~8%，同空间同批号</t>
  </si>
  <si>
    <t>厨卫墙砖</t>
  </si>
  <si>
    <t>300×600</t>
  </si>
  <si>
    <t>淋浴区可选中板</t>
  </si>
  <si>
    <t>厨卫地砖</t>
  </si>
  <si>
    <t>300×300</t>
  </si>
  <si>
    <t>防滑砖</t>
  </si>
  <si>
    <t>地板</t>
  </si>
  <si>
    <t>卧室木地板</t>
  </si>
  <si>
    <t>ENF/E0</t>
  </si>
  <si>
    <t>门</t>
  </si>
  <si>
    <t>室内木门（含门套）</t>
  </si>
  <si>
    <t>E1以上</t>
  </si>
  <si>
    <t>橱柜（地柜+吊柜）</t>
  </si>
  <si>
    <t>延米</t>
  </si>
  <si>
    <t>卫浴</t>
  </si>
  <si>
    <t>马桶</t>
  </si>
  <si>
    <t>坑距填</t>
  </si>
  <si>
    <t>先量坑距再买</t>
  </si>
  <si>
    <t>花洒</t>
  </si>
  <si>
    <t>浴室柜</t>
  </si>
  <si>
    <t>灯具</t>
  </si>
  <si>
    <t>可网购省预算</t>
  </si>
  <si>
    <t>开关插座面板</t>
  </si>
  <si>
    <t>水电阶段就要定</t>
  </si>
  <si>
    <t>辅材</t>
  </si>
  <si>
    <t>玻璃胶/美缝剂</t>
  </si>
  <si>
    <t>自购品质更可控</t>
  </si>
  <si>
    <t>-</t>
  </si>
  <si>
    <r>
      <rPr>
        <sz val="11"/>
        <color theme="1"/>
        <rFont val="Microsoft YaHei"/>
        <family val="2"/>
        <charset val="134"/>
      </rPr>
      <t>预计进场</t>
    </r>
    <r>
      <rPr>
        <sz val="11"/>
        <color theme="1"/>
        <rFont val="等线"/>
        <family val="3"/>
        <charset val="128"/>
        <scheme val="minor"/>
      </rPr>
      <t>月</t>
    </r>
    <phoneticPr fontId="4"/>
  </si>
  <si>
    <t>预计进场日期</t>
    <phoneticPr fontId="4"/>
  </si>
  <si>
    <t>车贷</t>
    <phoneticPr fontId="4"/>
  </si>
  <si>
    <t>房租</t>
    <phoneticPr fontId="4"/>
  </si>
  <si>
    <t>生活开支</t>
    <phoneticPr fontId="4"/>
  </si>
  <si>
    <t>装修支出</t>
    <phoneticPr fontId="4"/>
  </si>
  <si>
    <t>购房支出</t>
    <phoneticPr fontId="4"/>
  </si>
  <si>
    <r>
      <rPr>
        <sz val="11"/>
        <color rgb="FF0F1115"/>
        <rFont val="Noto Sans JP"/>
        <family val="2"/>
        <charset val="134"/>
      </rPr>
      <t>现有</t>
    </r>
    <r>
      <rPr>
        <sz val="11"/>
        <color rgb="FF0F1115"/>
        <rFont val="Microsoft YaHei"/>
        <family val="2"/>
        <charset val="134"/>
      </rPr>
      <t>资</t>
    </r>
    <r>
      <rPr>
        <sz val="11"/>
        <color rgb="FF0F1115"/>
        <rFont val="Noto Sans JP"/>
        <family val="3"/>
        <charset val="128"/>
      </rPr>
      <t>金</t>
    </r>
    <phoneticPr fontId="4"/>
  </si>
  <si>
    <r>
      <rPr>
        <sz val="11"/>
        <color rgb="FF0F1115"/>
        <rFont val="Noto Sans JP"/>
        <family val="2"/>
        <charset val="134"/>
      </rPr>
      <t>购房</t>
    </r>
    <r>
      <rPr>
        <sz val="11"/>
        <color rgb="FF0F1115"/>
        <rFont val="游ゴシック"/>
        <family val="2"/>
        <charset val="128"/>
      </rPr>
      <t>首付</t>
    </r>
    <phoneticPr fontId="4"/>
  </si>
  <si>
    <r>
      <rPr>
        <sz val="11"/>
        <color rgb="FF0F1115"/>
        <rFont val="DengXian"/>
        <charset val="134"/>
      </rPr>
      <t>瓷砖</t>
    </r>
    <phoneticPr fontId="4"/>
  </si>
  <si>
    <t>模式</t>
    <phoneticPr fontId="4"/>
  </si>
  <si>
    <t>公司</t>
    <phoneticPr fontId="4"/>
  </si>
  <si>
    <t>A</t>
    <phoneticPr fontId="4"/>
  </si>
  <si>
    <t>B</t>
    <phoneticPr fontId="4"/>
  </si>
  <si>
    <t>C</t>
    <phoneticPr fontId="4"/>
  </si>
  <si>
    <t>D</t>
    <phoneticPr fontId="4"/>
  </si>
  <si>
    <t>收入</t>
  </si>
  <si>
    <t>基金QM</t>
  </si>
  <si>
    <t>老丈人</t>
  </si>
  <si>
    <t>小荷包1</t>
  </si>
  <si>
    <t>小荷包2</t>
  </si>
  <si>
    <t>●</t>
  </si>
  <si>
    <t>基金JH</t>
    <phoneticPr fontId="4"/>
  </si>
  <si>
    <t>金额</t>
    <phoneticPr fontId="4"/>
  </si>
  <si>
    <t>购房</t>
  </si>
  <si>
    <t>意向金（10/18）</t>
    <phoneticPr fontId="4"/>
  </si>
  <si>
    <t>蒋工资</t>
    <phoneticPr fontId="4"/>
  </si>
  <si>
    <t>曲工资</t>
    <phoneticPr fontId="4"/>
  </si>
  <si>
    <t>除意向金外15%首付</t>
    <phoneticPr fontId="4"/>
  </si>
  <si>
    <t>招商QM</t>
    <phoneticPr fontId="4"/>
  </si>
  <si>
    <t>意向金（10/25）-婆婆</t>
    <phoneticPr fontId="4"/>
  </si>
  <si>
    <t>婆婆余</t>
    <phoneticPr fontId="4"/>
  </si>
  <si>
    <t>结婚礼金（两人）</t>
    <phoneticPr fontId="4"/>
  </si>
  <si>
    <t>曲工资※12/30</t>
    <phoneticPr fontId="4"/>
  </si>
  <si>
    <t>蒋工资※12/30</t>
    <phoneticPr fontId="4"/>
  </si>
  <si>
    <t>结婚礼金（两人）※暂定12/15</t>
    <phoneticPr fontId="4"/>
  </si>
  <si>
    <t>曲公积金提取（充首付）※暂定12/12</t>
    <phoneticPr fontId="4"/>
  </si>
  <si>
    <t>蒋公积金提取（充首付）※暂定12/12</t>
    <phoneticPr fontId="4"/>
  </si>
  <si>
    <t>支出</t>
  </si>
  <si>
    <t>安盛家园供暖费</t>
    <phoneticPr fontId="4"/>
  </si>
  <si>
    <t>曲工资※1/10</t>
    <phoneticPr fontId="4"/>
  </si>
  <si>
    <r>
      <t>网签（首付15%）</t>
    </r>
    <r>
      <rPr>
        <sz val="11"/>
        <color theme="1"/>
        <rFont val="Yu Gothic"/>
        <family val="2"/>
        <charset val="128"/>
      </rPr>
      <t>※</t>
    </r>
    <r>
      <rPr>
        <sz val="11"/>
        <color theme="1"/>
        <rFont val="DengXian Light"/>
        <family val="2"/>
        <charset val="134"/>
      </rPr>
      <t xml:space="preserve"> 暂定12/5</t>
    </r>
    <r>
      <rPr>
        <sz val="11"/>
        <color theme="1"/>
        <rFont val="DengXian Light"/>
        <charset val="134"/>
      </rPr>
      <t>，该时点不含公积金</t>
    </r>
    <phoneticPr fontId="4"/>
  </si>
  <si>
    <t>曲工资※2/10</t>
    <phoneticPr fontId="4"/>
  </si>
  <si>
    <t>曲工资※3/10</t>
    <phoneticPr fontId="4"/>
  </si>
  <si>
    <t>曲工资※4/10</t>
    <phoneticPr fontId="4"/>
  </si>
  <si>
    <t>曲工资※5/10</t>
    <phoneticPr fontId="4"/>
  </si>
  <si>
    <t>曲工资※6/10</t>
    <phoneticPr fontId="4"/>
  </si>
  <si>
    <t>曲工资※7/10</t>
    <phoneticPr fontId="4"/>
  </si>
  <si>
    <t>曲工资※8/10</t>
    <phoneticPr fontId="4"/>
  </si>
  <si>
    <t>曲工资※9/10</t>
    <phoneticPr fontId="4"/>
  </si>
  <si>
    <t>曲工资※10/10</t>
    <phoneticPr fontId="4"/>
  </si>
  <si>
    <t>曲工资※11/10</t>
    <phoneticPr fontId="4"/>
  </si>
  <si>
    <t>曲工资※12/10</t>
    <phoneticPr fontId="4"/>
  </si>
  <si>
    <t>曲工资-年终奖（预计1w）</t>
    <phoneticPr fontId="4"/>
  </si>
  <si>
    <t>蒋工资-年终奖（预计2w）</t>
    <phoneticPr fontId="4"/>
  </si>
  <si>
    <t>还款</t>
  </si>
  <si>
    <t>房屋月供</t>
    <phoneticPr fontId="4"/>
  </si>
  <si>
    <t>安盛家园房租</t>
    <phoneticPr fontId="4"/>
  </si>
  <si>
    <t>房租※住所未定（租金暂定3500）</t>
    <phoneticPr fontId="4"/>
  </si>
  <si>
    <t>二人通勤</t>
    <phoneticPr fontId="4"/>
  </si>
  <si>
    <t>烟钱JH（月1条），水电，特斯拉月费，小七保险，手机话费，爱奇艺等vip，加油（充电）</t>
    <phoneticPr fontId="4"/>
  </si>
  <si>
    <t>吃饭.社交.超市.小猫,停车费</t>
    <phoneticPr fontId="4"/>
  </si>
  <si>
    <t>社内旅游（西双版纳）</t>
    <phoneticPr fontId="4"/>
  </si>
  <si>
    <t>澳门旅游</t>
    <phoneticPr fontId="4"/>
  </si>
  <si>
    <t>春节回燕山</t>
    <phoneticPr fontId="4"/>
  </si>
  <si>
    <t>回同江机票,回同江买东西</t>
    <phoneticPr fontId="4"/>
  </si>
  <si>
    <t>车辆保险</t>
    <phoneticPr fontId="4"/>
  </si>
  <si>
    <t>iphone18pm</t>
    <phoneticPr fontId="4"/>
  </si>
  <si>
    <t>装修</t>
  </si>
  <si>
    <t>房子税（办房本时候交）</t>
    <phoneticPr fontId="4"/>
  </si>
  <si>
    <t>公维，物业费</t>
    <phoneticPr fontId="4"/>
  </si>
  <si>
    <t>物业费（27年年底）</t>
    <phoneticPr fontId="4"/>
  </si>
  <si>
    <t>取暖费（27年10月左右）</t>
    <phoneticPr fontId="4"/>
  </si>
  <si>
    <t>房屋设计费</t>
    <phoneticPr fontId="4"/>
  </si>
  <si>
    <t>截至2027年12月总结余</t>
    <phoneticPr fontId="29" type="noConversion"/>
  </si>
  <si>
    <t>每月结余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</si>
</sst>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;@"/>
    <numFmt numFmtId="177" formatCode="m/d;@"/>
  </numFmts>
  <fonts count="30">
    <font>
      <sz val="11"/>
      <color theme="1"/>
      <name val="等线"/>
      <family val="2"/>
      <charset val="128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6"/>
      <name val="等线"/>
      <family val="2"/>
      <charset val="128"/>
      <scheme val="minor"/>
    </font>
    <font>
      <sz val="10"/>
      <color rgb="FF0F1115"/>
      <name val="Consolas"/>
      <family val="3"/>
    </font>
    <font>
      <sz val="11"/>
      <color rgb="FF0F1115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28"/>
      <scheme val="minor"/>
    </font>
    <font>
      <sz val="11"/>
      <color rgb="FF0F1115"/>
      <name val="Noto Sans JP"/>
      <family val="2"/>
      <charset val="134"/>
    </font>
    <font>
      <sz val="11"/>
      <color rgb="FF0F1115"/>
      <name val="游ゴシック"/>
      <family val="3"/>
      <charset val="128"/>
    </font>
    <font>
      <sz val="11"/>
      <color rgb="FF0F1115"/>
      <name val="Segoe UI"/>
      <family val="3"/>
      <charset val="128"/>
    </font>
    <font>
      <sz val="11"/>
      <color rgb="FF0F1115"/>
      <name val="Noto Sans JP"/>
      <family val="3"/>
      <charset val="128"/>
    </font>
    <font>
      <sz val="11"/>
      <color rgb="FF0F1115"/>
      <name val="Segoe UI"/>
      <family val="2"/>
      <charset val="134"/>
    </font>
    <font>
      <sz val="11"/>
      <color rgb="FF0F1115"/>
      <name val="游ゴシック"/>
      <family val="2"/>
      <charset val="128"/>
    </font>
    <font>
      <sz val="11"/>
      <color rgb="FF0F1115"/>
      <name val="游ゴシック"/>
      <family val="2"/>
      <charset val="134"/>
    </font>
    <font>
      <sz val="11"/>
      <color theme="1"/>
      <name val="DengXian"/>
      <charset val="134"/>
    </font>
    <font>
      <sz val="11"/>
      <color rgb="FF0F1115"/>
      <name val="DengXian"/>
      <charset val="134"/>
    </font>
    <font>
      <sz val="11"/>
      <color rgb="FF0F1115"/>
      <name val="DengXian"/>
      <charset val="134"/>
    </font>
    <font>
      <b/>
      <sz val="11"/>
      <color rgb="FF0F1115"/>
      <name val="ＭＳ ゴシック"/>
      <family val="3"/>
      <charset val="128"/>
    </font>
    <font>
      <b/>
      <sz val="11"/>
      <color rgb="FF0F1115"/>
      <name val="Segoe UI"/>
      <family val="2"/>
    </font>
    <font>
      <sz val="11"/>
      <color theme="1"/>
      <name val="DengXian Light"/>
      <charset val="134"/>
    </font>
    <font>
      <b/>
      <sz val="10"/>
      <color theme="1"/>
      <name val="DengXian Light"/>
      <charset val="134"/>
    </font>
    <font>
      <b/>
      <sz val="9"/>
      <color theme="1"/>
      <name val="DengXian Light"/>
      <charset val="134"/>
    </font>
    <font>
      <b/>
      <sz val="12"/>
      <color theme="1"/>
      <name val="DengXian Light"/>
      <charset val="134"/>
    </font>
    <font>
      <sz val="11"/>
      <color theme="1"/>
      <name val="Yu Gothic"/>
      <family val="2"/>
      <charset val="128"/>
    </font>
    <font>
      <sz val="11"/>
      <color theme="1"/>
      <name val="DengXian Light"/>
      <family val="2"/>
      <charset val="134"/>
    </font>
    <font>
      <sz val="6"/>
      <color theme="1"/>
      <name val="DengXian Light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1" fillId="0" borderId="0" xfId="0" applyFont="1" applyFill="1" applyAlignment="1">
      <alignment horizontal="left" vertical="center" wrapText="1" indent="1"/>
    </xf>
    <xf numFmtId="0" fontId="0" fillId="0" borderId="0" xfId="0" applyFill="1">
      <alignment vertical="center"/>
    </xf>
    <xf numFmtId="0" fontId="2" fillId="0" borderId="0" xfId="0" applyFont="1" applyFill="1" applyAlignment="1">
      <alignment horizontal="left" vertical="center" wrapText="1" indent="1"/>
    </xf>
    <xf numFmtId="0" fontId="3" fillId="0" borderId="0" xfId="0" applyFont="1" applyFill="1" applyAlignment="1">
      <alignment horizontal="left" vertical="center" wrapText="1" indent="1"/>
    </xf>
    <xf numFmtId="0" fontId="5" fillId="0" borderId="0" xfId="0" applyFont="1" applyAlignment="1">
      <alignment horizontal="left" vertical="center" indent="1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55" fontId="2" fillId="0" borderId="0" xfId="0" applyNumberFormat="1" applyFont="1" applyFill="1" applyAlignment="1">
      <alignment horizontal="left" vertical="center" wrapText="1" indent="1"/>
    </xf>
    <xf numFmtId="0" fontId="10" fillId="0" borderId="0" xfId="0" applyFont="1" applyFill="1" applyAlignment="1">
      <alignment horizontal="left" vertical="center" wrapText="1" indent="1"/>
    </xf>
    <xf numFmtId="0" fontId="6" fillId="0" borderId="0" xfId="0" applyFont="1" applyFill="1" applyAlignment="1">
      <alignment horizontal="left" vertical="center" wrapText="1" indent="1"/>
    </xf>
    <xf numFmtId="0" fontId="11" fillId="0" borderId="0" xfId="0" applyFont="1" applyFill="1" applyAlignment="1">
      <alignment horizontal="left" vertical="center" wrapText="1" indent="1"/>
    </xf>
    <xf numFmtId="0" fontId="12" fillId="0" borderId="0" xfId="0" applyFont="1" applyFill="1" applyAlignment="1">
      <alignment horizontal="left" vertical="center" wrapText="1" indent="1"/>
    </xf>
    <xf numFmtId="0" fontId="14" fillId="0" borderId="0" xfId="0" applyFont="1" applyFill="1" applyAlignment="1">
      <alignment horizontal="left" vertical="center" wrapText="1" indent="1"/>
    </xf>
    <xf numFmtId="0" fontId="16" fillId="0" borderId="0" xfId="0" applyFont="1" applyFill="1" applyAlignment="1">
      <alignment horizontal="left" vertical="center" wrapText="1" indent="1"/>
    </xf>
    <xf numFmtId="0" fontId="17" fillId="0" borderId="0" xfId="0" applyFont="1">
      <alignment vertical="center"/>
    </xf>
    <xf numFmtId="0" fontId="17" fillId="0" borderId="0" xfId="0" applyFont="1" applyFill="1">
      <alignment vertical="center"/>
    </xf>
    <xf numFmtId="176" fontId="17" fillId="0" borderId="0" xfId="0" applyNumberFormat="1" applyFont="1">
      <alignment vertical="center"/>
    </xf>
    <xf numFmtId="177" fontId="17" fillId="0" borderId="0" xfId="0" applyNumberFormat="1" applyFont="1">
      <alignment vertical="center"/>
    </xf>
    <xf numFmtId="0" fontId="19" fillId="0" borderId="0" xfId="0" applyFont="1" applyFill="1" applyBorder="1" applyAlignment="1">
      <alignment horizontal="left" vertical="center" wrapText="1" indent="1"/>
    </xf>
    <xf numFmtId="0" fontId="20" fillId="0" borderId="0" xfId="0" applyFont="1" applyFill="1" applyBorder="1" applyAlignment="1">
      <alignment horizontal="left" vertical="center" wrapText="1" indent="1"/>
    </xf>
    <xf numFmtId="0" fontId="21" fillId="0" borderId="0" xfId="0" applyFont="1" applyFill="1" applyBorder="1" applyAlignment="1">
      <alignment horizontal="left" vertical="center" wrapText="1" indent="1"/>
    </xf>
    <xf numFmtId="0" fontId="22" fillId="0" borderId="0" xfId="0" applyFont="1">
      <alignment vertical="center"/>
    </xf>
    <xf numFmtId="0" fontId="22" fillId="0" borderId="1" xfId="0" applyFont="1" applyBorder="1">
      <alignment vertical="center"/>
    </xf>
    <xf numFmtId="177" fontId="24" fillId="3" borderId="1" xfId="0" applyNumberFormat="1" applyFont="1" applyFill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21" fillId="0" borderId="0" xfId="0" applyFont="1" applyFill="1" applyAlignment="1">
      <alignment horizontal="left" vertical="center" wrapText="1" indent="1"/>
    </xf>
    <xf numFmtId="0" fontId="18" fillId="0" borderId="0" xfId="0" applyFont="1" applyFill="1" applyAlignment="1">
      <alignment horizontal="left" vertical="center" wrapText="1" indent="1"/>
    </xf>
    <xf numFmtId="0" fontId="19" fillId="0" borderId="0" xfId="0" applyFont="1" applyFill="1" applyAlignment="1">
      <alignment horizontal="left" vertical="center" wrapText="1" indent="1"/>
    </xf>
    <xf numFmtId="0" fontId="25" fillId="2" borderId="1" xfId="0" applyFont="1" applyFill="1" applyBorder="1" applyAlignment="1">
      <alignment horizontal="center" vertical="center"/>
    </xf>
    <xf numFmtId="0" fontId="23" fillId="2" borderId="1" xfId="0" applyNumberFormat="1" applyFont="1" applyFill="1" applyBorder="1" applyAlignment="1">
      <alignment horizontal="center" vertical="center"/>
    </xf>
    <xf numFmtId="0" fontId="23" fillId="2" borderId="2" xfId="0" applyNumberFormat="1" applyFont="1" applyFill="1" applyBorder="1" applyAlignment="1">
      <alignment horizontal="center" vertical="center"/>
    </xf>
    <xf numFmtId="0" fontId="23" fillId="2" borderId="3" xfId="0" applyNumberFormat="1" applyFont="1" applyFill="1" applyBorder="1" applyAlignment="1">
      <alignment horizontal="center" vertical="center"/>
    </xf>
    <xf numFmtId="0" fontId="23" fillId="2" borderId="4" xfId="0" applyNumberFormat="1" applyFont="1" applyFill="1" applyBorder="1" applyAlignment="1">
      <alignment horizontal="center" vertical="center"/>
    </xf>
    <xf numFmtId="0" fontId="22" fillId="4" borderId="1" xfId="0" applyFont="1" applyFill="1" applyBorder="1">
      <alignment vertical="center"/>
    </xf>
    <xf numFmtId="0" fontId="28" fillId="0" borderId="1" xfId="0" applyFont="1" applyBorder="1">
      <alignment vertical="center"/>
    </xf>
  </cellXfs>
  <cellStyles count="1">
    <cellStyle name="常规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numFmt numFmtId="44" formatCode="yyyy&quot;年&quot;m&quot;月&quot;"/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DengXia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DengXian"/>
        <charset val="134"/>
        <scheme val="none"/>
      </font>
      <numFmt numFmtId="177" formatCode="m/d;@"/>
    </dxf>
    <dxf>
      <font>
        <strike val="0"/>
        <outline val="0"/>
        <shadow val="0"/>
        <u val="none"/>
        <vertAlign val="baseline"/>
        <sz val="11"/>
        <name val="DengXian"/>
        <charset val="134"/>
        <scheme val="none"/>
      </font>
      <numFmt numFmtId="176" formatCode="yyyy&quot;年&quot;m&quot;月&quot;;@"/>
    </dxf>
    <dxf>
      <font>
        <strike val="0"/>
        <outline val="0"/>
        <shadow val="0"/>
        <u val="none"/>
        <vertAlign val="baseline"/>
        <sz val="11"/>
        <name val="DengXia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DengXia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DengXia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DengXia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DengXian"/>
        <charset val="134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DengXia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DengXia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DengXia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DengXia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DengXian"/>
        <charset val="134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DengXian"/>
        <charset val="134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DengXia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DengXia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DengXian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DengXian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DengXian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DengXian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DengXian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DengXian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DengXian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DengXian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27006A-0A68-45B1-BC45-943B206FF0DB}" name="テーブル4" displayName="テーブル4" ref="A1:E7" totalsRowShown="0" headerRowDxfId="40" dataDxfId="39">
  <autoFilter ref="A1:E7" xr:uid="{2B27006A-0A68-45B1-BC45-943B206FF0DB}"/>
  <tableColumns count="5">
    <tableColumn id="1" xr3:uid="{B25FA0DE-71D7-46A0-861F-52A8FA8DCF1E}" name="时间节点" dataDxfId="38"/>
    <tableColumn id="2" xr3:uid="{BFC643E1-79AA-4BA5-A668-C8AB504FD046}" name="事项" dataDxfId="37"/>
    <tableColumn id="3" xr3:uid="{356CE9A2-2F75-476F-B941-1CAADFEC4787}" name="计算方式" dataDxfId="36"/>
    <tableColumn id="4" xr3:uid="{1A175FE2-F089-4D8B-9DCD-F72E3B8682FA}" name="金额（元）" dataDxfId="35"/>
    <tableColumn id="5" xr3:uid="{02BE8206-5E99-4D8D-A250-5129A3319203}" name="状态" dataDxfId="3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30BF24-F780-4145-AC9A-D1F216795905}" name="テーブル3" displayName="テーブル3" ref="B2:G6" totalsRowShown="0" headerRowDxfId="33" dataDxfId="32">
  <autoFilter ref="B2:G6" xr:uid="{7E30BF24-F780-4145-AC9A-D1F216795905}"/>
  <tableColumns count="6">
    <tableColumn id="1" xr3:uid="{8388D1E3-8F3B-40A6-95B0-58992156D426}" name="公司" dataDxfId="31"/>
    <tableColumn id="6" xr3:uid="{DADF5EC9-701C-4AF8-A158-BBD9E730B5AC}" name="模式" dataDxfId="30"/>
    <tableColumn id="2" xr3:uid="{D6E7FCB4-A886-418D-8D3F-8622991501D7}" name="施工+辅材" dataDxfId="29"/>
    <tableColumn id="3" xr3:uid="{89073FBC-748B-46D4-A29C-AEBE44439372}" name="主材" dataDxfId="28"/>
    <tableColumn id="4" xr3:uid="{85D932EB-E396-471B-B2D2-A66A367275FF}" name="总落地预估" dataDxfId="27"/>
    <tableColumn id="5" xr3:uid="{76F0A1BA-E713-4418-9137-1CFC709F0F8A}" name="适合情况" dataDxfId="26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66FFFD-179C-4CFD-B601-2D000822E993}" name="テーブル2" displayName="テーブル2" ref="A1:P13" totalsRowShown="0" dataDxfId="25">
  <autoFilter ref="A1:P13" xr:uid="{4D66FFFD-179C-4CFD-B601-2D000822E993}"/>
  <tableColumns count="16">
    <tableColumn id="1" xr3:uid="{232843C6-CBF4-4DE4-82E1-4CA418E117F8}" name="序号" dataDxfId="24"/>
    <tableColumn id="2" xr3:uid="{1FF1DFEE-3868-486B-8C02-20BFA750EF63}" name="类别" dataDxfId="23"/>
    <tableColumn id="3" xr3:uid="{710942B5-75F3-4C34-B701-1E5B2DC85840}" name="项目" dataDxfId="22"/>
    <tableColumn id="4" xr3:uid="{A48AC1FF-FE6F-41DD-B176-D1AB2FE44A29}" name="品牌/型号" dataDxfId="21"/>
    <tableColumn id="5" xr3:uid="{CBAE92DD-C65D-450F-A002-9B80373541CB}" name="规格/尺寸" dataDxfId="20"/>
    <tableColumn id="6" xr3:uid="{1A34B5E5-BEEB-4ECA-944E-CA006E843C2C}" name="色号/批号" dataDxfId="19"/>
    <tableColumn id="7" xr3:uid="{4BC0B3E5-1E0B-47C8-A362-6A6FB2B9D0E8}" name="环保等级" dataDxfId="18"/>
    <tableColumn id="8" xr3:uid="{CE9D2E5D-604D-4354-9C65-D5260B6B6B9F}" name="单价" dataDxfId="17"/>
    <tableColumn id="9" xr3:uid="{DB583B88-3BAD-4B15-97A5-AAD1D3FFFA40}" name="数量" dataDxfId="16"/>
    <tableColumn id="10" xr3:uid="{09BCDB48-89C0-4B73-A840-3696A6C08766}" name="预算金额" dataDxfId="15">
      <calculatedColumnFormula>$H2*$I2</calculatedColumnFormula>
    </tableColumn>
    <tableColumn id="11" xr3:uid="{3DCBE61B-7DC2-4B3D-B4B2-62DDF371ABB0}" name="实际支付" dataDxfId="14"/>
    <tableColumn id="12" xr3:uid="{75143408-1ED2-4874-9C08-96F73A48F4B2}" name="购买渠道" dataDxfId="13"/>
    <tableColumn id="13" xr3:uid="{99C48EC6-01CF-468E-957D-5428A459BBC2}" name="订单号/送货单号" dataDxfId="12"/>
    <tableColumn id="14" xr3:uid="{57388F1F-996D-4DA3-9012-51606E2A1B02}" name="预计进场月" dataDxfId="11"/>
    <tableColumn id="15" xr3:uid="{55317986-B83F-48A3-831D-68DF72C5C2B6}" name="预计进场日期" dataDxfId="10"/>
    <tableColumn id="16" xr3:uid="{90D17E1C-E0CB-44A7-BE25-60F6181D2336}" name="备注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CF9BE-4684-44BA-AC0B-1EA9C420CC1F}" name="テーブル1" displayName="テーブル1" ref="B2:M18" totalsRowShown="0" headerRowDxfId="8">
  <autoFilter ref="B2:M18" xr:uid="{30ECF9BE-4684-44BA-AC0B-1EA9C420CC1F}"/>
  <tableColumns count="12">
    <tableColumn id="1" xr3:uid="{C4E36390-678A-41C5-902C-D57D5C7B4937}" name="月份" dataDxfId="7"/>
    <tableColumn id="2" xr3:uid="{64193444-1C78-4F77-89CD-8F08767C45D2}" name="现有资金" dataDxfId="6"/>
    <tableColumn id="3" xr3:uid="{1F606180-A218-4F37-B470-D53CB6AE24F6}" name="工资进账（税后）" dataDxfId="5">
      <calculatedColumnFormula>15000+7880</calculatedColumnFormula>
    </tableColumn>
    <tableColumn id="4" xr3:uid="{23F5B902-DE82-48F1-8A49-17C5B35359D7}" name="公积金到账" dataDxfId="4">
      <calculatedColumnFormula>3318</calculatedColumnFormula>
    </tableColumn>
    <tableColumn id="5" xr3:uid="{7009394F-4306-4544-B392-D23BE5D481B4}" name="房贷月供" dataDxfId="3"/>
    <tableColumn id="9" xr3:uid="{6A6EC4D2-E24B-499C-B229-AE616A241E6C}" name="车贷" dataDxfId="2"/>
    <tableColumn id="10" xr3:uid="{91437103-A4BA-432D-BD23-01579D15EBC8}" name="房租" dataDxfId="1"/>
    <tableColumn id="11" xr3:uid="{D4B108CA-DEBE-4843-9904-15F80468006F}" name="生活开支" dataDxfId="0"/>
    <tableColumn id="6" xr3:uid="{63B9DDA6-F21A-4C21-8AE4-16C893A8A1A4}" name="购房支出"/>
    <tableColumn id="12" xr3:uid="{909C5415-BF58-40CD-9776-B71721BF1CDB}" name="装修支出"/>
    <tableColumn id="7" xr3:uid="{A7611464-54B3-463E-99BD-E6B2864CE0D1}" name="月末结余">
      <calculatedColumnFormula>テーブル1[[#This Row],[现有资金]]+テーブル1[[#This Row],[工资进账（税后）]]+テーブル1[[#This Row],[公积金到账]]-テーブル1[[#This Row],[房贷月供]]-テーブル1[[#This Row],[车贷]]-テーブル1[[#This Row],[房租]]-テーブル1[[#This Row],[生活开支]]-テーブル1[[#This Row],[购房支出]]-テーブル1[[#This Row],[装修支出]]</calculatedColumnFormula>
    </tableColumn>
    <tableColumn id="8" xr3:uid="{2BDC0836-1EEB-4A8C-9FAD-2852D2C71901}" name="备注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D0BB-DC78-485D-95F1-B809DFDA8975}">
  <dimension ref="A1:AP300"/>
  <sheetViews>
    <sheetView tabSelected="1" workbookViewId="0">
      <pane ySplit="2" topLeftCell="A3" activePane="bottomLeft" state="frozen"/>
      <selection pane="bottomLeft" activeCell="A3" sqref="A3"/>
    </sheetView>
  </sheetViews>
  <sheetFormatPr defaultColWidth="9" defaultRowHeight="14"/>
  <cols>
    <col min="1" max="2" width="9" style="23"/>
    <col min="3" max="3" width="45" style="23" customWidth="1"/>
    <col min="4" max="4" width="5.08203125" style="23" customWidth="1"/>
    <col min="5" max="42" width="4.33203125" style="23" customWidth="1"/>
    <col min="43" max="16384" width="9" style="23"/>
  </cols>
  <sheetData>
    <row r="1" spans="1:42" ht="18.75" customHeight="1">
      <c r="A1" s="30" t="s">
        <v>50</v>
      </c>
      <c r="B1" s="30" t="s">
        <v>150</v>
      </c>
      <c r="C1" s="30" t="s">
        <v>1</v>
      </c>
      <c r="D1" s="32">
        <v>2026</v>
      </c>
      <c r="E1" s="33"/>
      <c r="F1" s="34"/>
      <c r="G1" s="31">
        <v>2027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>
        <v>2028</v>
      </c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>
        <v>2029</v>
      </c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</row>
    <row r="2" spans="1:42" ht="15.5">
      <c r="A2" s="30"/>
      <c r="B2" s="30"/>
      <c r="C2" s="30"/>
      <c r="D2" s="25">
        <v>46321</v>
      </c>
      <c r="E2" s="25">
        <v>46327</v>
      </c>
      <c r="F2" s="25">
        <v>46357</v>
      </c>
      <c r="G2" s="25">
        <v>46388</v>
      </c>
      <c r="H2" s="25">
        <v>46419</v>
      </c>
      <c r="I2" s="25">
        <v>46447</v>
      </c>
      <c r="J2" s="25">
        <v>46478</v>
      </c>
      <c r="K2" s="25">
        <v>46508</v>
      </c>
      <c r="L2" s="25">
        <v>46539</v>
      </c>
      <c r="M2" s="25">
        <v>46569</v>
      </c>
      <c r="N2" s="25">
        <v>46600</v>
      </c>
      <c r="O2" s="25">
        <v>46631</v>
      </c>
      <c r="P2" s="25">
        <v>46661</v>
      </c>
      <c r="Q2" s="25">
        <v>46692</v>
      </c>
      <c r="R2" s="25">
        <v>46722</v>
      </c>
      <c r="S2" s="25">
        <v>46753</v>
      </c>
      <c r="T2" s="25">
        <v>46784</v>
      </c>
      <c r="U2" s="25">
        <v>46813</v>
      </c>
      <c r="V2" s="25">
        <v>46844</v>
      </c>
      <c r="W2" s="25">
        <v>46874</v>
      </c>
      <c r="X2" s="25">
        <v>46905</v>
      </c>
      <c r="Y2" s="25">
        <v>46935</v>
      </c>
      <c r="Z2" s="25">
        <v>46966</v>
      </c>
      <c r="AA2" s="25">
        <v>46997</v>
      </c>
      <c r="AB2" s="25">
        <v>47027</v>
      </c>
      <c r="AC2" s="25">
        <v>47058</v>
      </c>
      <c r="AD2" s="25">
        <v>47088</v>
      </c>
      <c r="AE2" s="25">
        <v>47119</v>
      </c>
      <c r="AF2" s="25">
        <v>47150</v>
      </c>
      <c r="AG2" s="25">
        <v>47178</v>
      </c>
      <c r="AH2" s="25">
        <v>47209</v>
      </c>
      <c r="AI2" s="25">
        <v>47239</v>
      </c>
      <c r="AJ2" s="25">
        <v>47270</v>
      </c>
      <c r="AK2" s="25">
        <v>47300</v>
      </c>
      <c r="AL2" s="25">
        <v>47331</v>
      </c>
      <c r="AM2" s="25">
        <v>47362</v>
      </c>
      <c r="AN2" s="25">
        <v>47392</v>
      </c>
      <c r="AO2" s="25">
        <v>47423</v>
      </c>
      <c r="AP2" s="25">
        <v>47453</v>
      </c>
    </row>
    <row r="3" spans="1:42" ht="20.25" customHeight="1">
      <c r="A3" s="24" t="s">
        <v>143</v>
      </c>
      <c r="B3" s="24">
        <v>26190.78</v>
      </c>
      <c r="C3" s="24" t="s">
        <v>149</v>
      </c>
      <c r="D3" s="26" t="s">
        <v>148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</row>
    <row r="4" spans="1:42" ht="20.25" customHeight="1">
      <c r="A4" s="24" t="s">
        <v>143</v>
      </c>
      <c r="B4" s="24">
        <v>35022.559999999998</v>
      </c>
      <c r="C4" s="24" t="s">
        <v>144</v>
      </c>
      <c r="D4" s="26" t="s">
        <v>148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</row>
    <row r="5" spans="1:42" ht="20.25" customHeight="1">
      <c r="A5" s="24" t="s">
        <v>143</v>
      </c>
      <c r="B5" s="24">
        <v>45934.44</v>
      </c>
      <c r="C5" s="24" t="s">
        <v>159</v>
      </c>
      <c r="D5" s="26" t="s">
        <v>148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</row>
    <row r="6" spans="1:42" ht="20.25" customHeight="1">
      <c r="A6" s="24" t="s">
        <v>143</v>
      </c>
      <c r="B6" s="24">
        <v>200000</v>
      </c>
      <c r="C6" s="24" t="s">
        <v>145</v>
      </c>
      <c r="D6" s="26" t="s">
        <v>148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</row>
    <row r="7" spans="1:42" ht="20.25" customHeight="1">
      <c r="A7" s="24" t="s">
        <v>143</v>
      </c>
      <c r="B7" s="24">
        <v>30000</v>
      </c>
      <c r="C7" s="24" t="s">
        <v>156</v>
      </c>
      <c r="D7" s="26" t="s">
        <v>148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</row>
    <row r="8" spans="1:42" ht="20.25" customHeight="1">
      <c r="A8" s="24" t="s">
        <v>143</v>
      </c>
      <c r="B8" s="24">
        <v>38108.36</v>
      </c>
      <c r="C8" s="24" t="s">
        <v>146</v>
      </c>
      <c r="D8" s="26" t="s">
        <v>148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</row>
    <row r="9" spans="1:42" ht="20.25" customHeight="1">
      <c r="A9" s="24" t="s">
        <v>143</v>
      </c>
      <c r="B9" s="24">
        <v>46587.34</v>
      </c>
      <c r="C9" s="24" t="s">
        <v>147</v>
      </c>
      <c r="D9" s="26" t="s">
        <v>148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</row>
    <row r="10" spans="1:42" ht="20.25" customHeight="1">
      <c r="A10" s="24" t="s">
        <v>151</v>
      </c>
      <c r="B10" s="24">
        <v>10000</v>
      </c>
      <c r="C10" s="24" t="s">
        <v>152</v>
      </c>
      <c r="D10" s="26" t="s">
        <v>148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</row>
    <row r="11" spans="1:42" ht="20.25" customHeight="1">
      <c r="A11" s="24" t="s">
        <v>151</v>
      </c>
      <c r="B11" s="24">
        <v>50000</v>
      </c>
      <c r="C11" s="24" t="s">
        <v>157</v>
      </c>
      <c r="D11" s="26" t="s">
        <v>148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</row>
    <row r="12" spans="1:42" ht="20.25" customHeight="1">
      <c r="A12" s="24" t="s">
        <v>151</v>
      </c>
      <c r="B12" s="24">
        <v>319178</v>
      </c>
      <c r="C12" s="24" t="s">
        <v>155</v>
      </c>
      <c r="D12" s="26"/>
      <c r="E12" s="26" t="s">
        <v>148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</row>
    <row r="13" spans="1:42" ht="20.25" customHeight="1">
      <c r="A13" s="24" t="s">
        <v>143</v>
      </c>
      <c r="B13" s="24">
        <v>7880</v>
      </c>
      <c r="C13" s="24" t="s">
        <v>153</v>
      </c>
      <c r="D13" s="26"/>
      <c r="E13" s="26" t="s">
        <v>148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</row>
    <row r="14" spans="1:42" ht="20.25" customHeight="1">
      <c r="A14" s="24" t="s">
        <v>143</v>
      </c>
      <c r="B14" s="24">
        <v>7800</v>
      </c>
      <c r="C14" s="24" t="s">
        <v>154</v>
      </c>
      <c r="D14" s="26"/>
      <c r="E14" s="26" t="s">
        <v>148</v>
      </c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</row>
    <row r="15" spans="1:42" ht="20.25" customHeight="1">
      <c r="A15" s="24" t="s">
        <v>143</v>
      </c>
      <c r="B15" s="24">
        <v>70000</v>
      </c>
      <c r="C15" s="24" t="s">
        <v>156</v>
      </c>
      <c r="D15" s="26"/>
      <c r="E15" s="26" t="s">
        <v>148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</row>
    <row r="16" spans="1:42" ht="20.25" customHeight="1">
      <c r="A16" s="24" t="s">
        <v>143</v>
      </c>
      <c r="B16" s="24">
        <v>250000</v>
      </c>
      <c r="C16" s="24" t="s">
        <v>158</v>
      </c>
      <c r="D16" s="26"/>
      <c r="E16" s="26" t="s">
        <v>148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</row>
    <row r="17" spans="1:42" ht="20.25" customHeight="1">
      <c r="A17" s="24" t="s">
        <v>143</v>
      </c>
      <c r="B17" s="24">
        <v>7880</v>
      </c>
      <c r="C17" s="24" t="s">
        <v>153</v>
      </c>
      <c r="D17" s="26"/>
      <c r="E17" s="26" t="s">
        <v>148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</row>
    <row r="18" spans="1:42" ht="20.25" customHeight="1">
      <c r="A18" s="24" t="s">
        <v>143</v>
      </c>
      <c r="B18" s="24">
        <v>7800</v>
      </c>
      <c r="C18" s="24" t="s">
        <v>154</v>
      </c>
      <c r="D18" s="26"/>
      <c r="E18" s="26" t="s">
        <v>148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</row>
    <row r="19" spans="1:42" ht="20.25" customHeight="1">
      <c r="A19" s="24" t="s">
        <v>151</v>
      </c>
      <c r="B19" s="24">
        <v>379178</v>
      </c>
      <c r="C19" s="24" t="s">
        <v>168</v>
      </c>
      <c r="D19" s="26"/>
      <c r="E19" s="26"/>
      <c r="F19" s="26" t="s">
        <v>148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</row>
    <row r="20" spans="1:42" ht="20.25" customHeight="1">
      <c r="A20" s="24" t="s">
        <v>143</v>
      </c>
      <c r="B20" s="24">
        <v>6200</v>
      </c>
      <c r="C20" s="24" t="s">
        <v>154</v>
      </c>
      <c r="D20" s="26"/>
      <c r="E20" s="26"/>
      <c r="F20" s="26" t="s">
        <v>148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</row>
    <row r="21" spans="1:42" ht="20.25" customHeight="1">
      <c r="A21" s="24" t="s">
        <v>143</v>
      </c>
      <c r="B21" s="24">
        <v>129337</v>
      </c>
      <c r="C21" s="24" t="s">
        <v>164</v>
      </c>
      <c r="D21" s="26"/>
      <c r="E21" s="26"/>
      <c r="F21" s="26" t="s">
        <v>148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</row>
    <row r="22" spans="1:42" ht="20.25" customHeight="1">
      <c r="A22" s="24" t="s">
        <v>143</v>
      </c>
      <c r="B22" s="24">
        <v>45749</v>
      </c>
      <c r="C22" s="24" t="s">
        <v>163</v>
      </c>
      <c r="D22" s="26"/>
      <c r="E22" s="26"/>
      <c r="F22" s="26" t="s">
        <v>148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</row>
    <row r="23" spans="1:42" ht="20.25" customHeight="1">
      <c r="A23" s="24" t="s">
        <v>143</v>
      </c>
      <c r="B23" s="24">
        <v>70000</v>
      </c>
      <c r="C23" s="24" t="s">
        <v>162</v>
      </c>
      <c r="D23" s="26"/>
      <c r="E23" s="26"/>
      <c r="F23" s="26" t="s">
        <v>148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</row>
    <row r="24" spans="1:42" ht="20.25" customHeight="1">
      <c r="A24" s="24" t="s">
        <v>143</v>
      </c>
      <c r="B24" s="24">
        <v>7880</v>
      </c>
      <c r="C24" s="24" t="s">
        <v>161</v>
      </c>
      <c r="D24" s="26"/>
      <c r="E24" s="26"/>
      <c r="F24" s="26" t="s">
        <v>148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</row>
    <row r="25" spans="1:42" ht="20.25" customHeight="1">
      <c r="A25" s="24" t="s">
        <v>143</v>
      </c>
      <c r="B25" s="24">
        <v>7800</v>
      </c>
      <c r="C25" s="24" t="s">
        <v>160</v>
      </c>
      <c r="D25" s="26"/>
      <c r="E25" s="26"/>
      <c r="F25" s="26" t="s">
        <v>148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</row>
    <row r="26" spans="1:42" ht="20.25" customHeight="1">
      <c r="A26" s="24" t="s">
        <v>165</v>
      </c>
      <c r="B26" s="24">
        <v>1800</v>
      </c>
      <c r="C26" s="24" t="s">
        <v>166</v>
      </c>
      <c r="D26" s="26"/>
      <c r="E26" s="26"/>
      <c r="F26" s="26"/>
      <c r="G26" s="26" t="s">
        <v>148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</row>
    <row r="27" spans="1:42" ht="20.25" customHeight="1">
      <c r="A27" s="24" t="s">
        <v>143</v>
      </c>
      <c r="B27" s="24">
        <v>6200</v>
      </c>
      <c r="C27" s="24" t="s">
        <v>167</v>
      </c>
      <c r="D27" s="26"/>
      <c r="E27" s="26"/>
      <c r="F27" s="26"/>
      <c r="G27" s="26" t="s">
        <v>148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</row>
    <row r="28" spans="1:42" ht="20.25" customHeight="1">
      <c r="A28" s="24" t="s">
        <v>143</v>
      </c>
      <c r="B28" s="24">
        <v>7880</v>
      </c>
      <c r="C28" s="24" t="s">
        <v>153</v>
      </c>
      <c r="D28" s="26"/>
      <c r="E28" s="26"/>
      <c r="F28" s="26"/>
      <c r="G28" s="26" t="s">
        <v>148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</row>
    <row r="29" spans="1:42" ht="20.25" customHeight="1">
      <c r="A29" s="24" t="s">
        <v>143</v>
      </c>
      <c r="B29" s="24">
        <v>7800</v>
      </c>
      <c r="C29" s="24" t="s">
        <v>154</v>
      </c>
      <c r="D29" s="26"/>
      <c r="E29" s="26"/>
      <c r="F29" s="26"/>
      <c r="G29" s="26" t="s">
        <v>148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</row>
    <row r="30" spans="1:42" ht="20.25" customHeight="1">
      <c r="A30" s="24" t="s">
        <v>143</v>
      </c>
      <c r="B30" s="24">
        <v>6200</v>
      </c>
      <c r="C30" s="24" t="s">
        <v>169</v>
      </c>
      <c r="D30" s="26"/>
      <c r="E30" s="26"/>
      <c r="F30" s="26"/>
      <c r="G30" s="26"/>
      <c r="H30" s="26" t="s">
        <v>148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</row>
    <row r="31" spans="1:42" ht="20.25" customHeight="1">
      <c r="A31" s="24" t="s">
        <v>143</v>
      </c>
      <c r="B31" s="24">
        <v>7880</v>
      </c>
      <c r="C31" s="24" t="s">
        <v>153</v>
      </c>
      <c r="D31" s="26"/>
      <c r="E31" s="26"/>
      <c r="F31" s="26"/>
      <c r="G31" s="26"/>
      <c r="H31" s="26" t="s">
        <v>148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</row>
    <row r="32" spans="1:42" ht="20.25" customHeight="1">
      <c r="A32" s="24" t="s">
        <v>143</v>
      </c>
      <c r="B32" s="24">
        <v>7800</v>
      </c>
      <c r="C32" s="24" t="s">
        <v>154</v>
      </c>
      <c r="D32" s="26"/>
      <c r="E32" s="26"/>
      <c r="F32" s="26"/>
      <c r="G32" s="26"/>
      <c r="H32" s="26" t="s">
        <v>148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</row>
    <row r="33" spans="1:42" ht="20.25" customHeight="1">
      <c r="A33" s="24" t="s">
        <v>143</v>
      </c>
      <c r="B33" s="24">
        <v>6200</v>
      </c>
      <c r="C33" s="24" t="s">
        <v>170</v>
      </c>
      <c r="D33" s="26"/>
      <c r="E33" s="26"/>
      <c r="F33" s="26"/>
      <c r="G33" s="26"/>
      <c r="H33" s="26"/>
      <c r="I33" s="26" t="s">
        <v>148</v>
      </c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</row>
    <row r="34" spans="1:42" ht="20.25" customHeight="1">
      <c r="A34" s="24" t="s">
        <v>143</v>
      </c>
      <c r="B34" s="24">
        <v>7880</v>
      </c>
      <c r="C34" s="24" t="s">
        <v>153</v>
      </c>
      <c r="D34" s="26"/>
      <c r="E34" s="26"/>
      <c r="F34" s="26"/>
      <c r="G34" s="26"/>
      <c r="H34" s="26"/>
      <c r="I34" s="26" t="s">
        <v>148</v>
      </c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</row>
    <row r="35" spans="1:42" ht="20.25" customHeight="1">
      <c r="A35" s="24" t="s">
        <v>143</v>
      </c>
      <c r="B35" s="24">
        <v>7800</v>
      </c>
      <c r="C35" s="24" t="s">
        <v>154</v>
      </c>
      <c r="D35" s="26"/>
      <c r="E35" s="26"/>
      <c r="F35" s="26"/>
      <c r="G35" s="26"/>
      <c r="H35" s="26"/>
      <c r="I35" s="26" t="s">
        <v>148</v>
      </c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</row>
    <row r="36" spans="1:42" ht="20.25" customHeight="1">
      <c r="A36" s="24" t="s">
        <v>143</v>
      </c>
      <c r="B36" s="24">
        <v>6200</v>
      </c>
      <c r="C36" s="24" t="s">
        <v>171</v>
      </c>
      <c r="D36" s="26"/>
      <c r="E36" s="26"/>
      <c r="F36" s="26"/>
      <c r="G36" s="26"/>
      <c r="H36" s="26"/>
      <c r="I36" s="26"/>
      <c r="J36" s="26" t="s">
        <v>148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</row>
    <row r="37" spans="1:42" ht="20.25" customHeight="1">
      <c r="A37" s="24" t="s">
        <v>143</v>
      </c>
      <c r="B37" s="24">
        <v>7880</v>
      </c>
      <c r="C37" s="24" t="s">
        <v>153</v>
      </c>
      <c r="D37" s="26"/>
      <c r="E37" s="26"/>
      <c r="F37" s="26"/>
      <c r="G37" s="26"/>
      <c r="H37" s="26"/>
      <c r="I37" s="26"/>
      <c r="J37" s="26" t="s">
        <v>148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</row>
    <row r="38" spans="1:42" ht="20.25" customHeight="1">
      <c r="A38" s="24" t="s">
        <v>143</v>
      </c>
      <c r="B38" s="24">
        <v>7800</v>
      </c>
      <c r="C38" s="24" t="s">
        <v>154</v>
      </c>
      <c r="D38" s="26"/>
      <c r="E38" s="26"/>
      <c r="F38" s="26"/>
      <c r="G38" s="26"/>
      <c r="H38" s="26"/>
      <c r="I38" s="26"/>
      <c r="J38" s="26" t="s">
        <v>148</v>
      </c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</row>
    <row r="39" spans="1:42" ht="20.25" customHeight="1">
      <c r="A39" s="24" t="s">
        <v>143</v>
      </c>
      <c r="B39" s="24">
        <v>6200</v>
      </c>
      <c r="C39" s="24" t="s">
        <v>172</v>
      </c>
      <c r="D39" s="26"/>
      <c r="E39" s="26"/>
      <c r="F39" s="26"/>
      <c r="G39" s="26"/>
      <c r="H39" s="26"/>
      <c r="I39" s="26"/>
      <c r="J39" s="26"/>
      <c r="K39" s="26" t="s">
        <v>148</v>
      </c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</row>
    <row r="40" spans="1:42" ht="20.25" customHeight="1">
      <c r="A40" s="24" t="s">
        <v>143</v>
      </c>
      <c r="B40" s="24">
        <v>7880</v>
      </c>
      <c r="C40" s="24" t="s">
        <v>153</v>
      </c>
      <c r="D40" s="26"/>
      <c r="E40" s="26"/>
      <c r="F40" s="26"/>
      <c r="G40" s="26"/>
      <c r="H40" s="26"/>
      <c r="I40" s="26"/>
      <c r="J40" s="26"/>
      <c r="K40" s="26" t="s">
        <v>148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</row>
    <row r="41" spans="1:42" ht="20.25" customHeight="1">
      <c r="A41" s="24" t="s">
        <v>143</v>
      </c>
      <c r="B41" s="24">
        <v>7800</v>
      </c>
      <c r="C41" s="24" t="s">
        <v>154</v>
      </c>
      <c r="D41" s="26"/>
      <c r="E41" s="26"/>
      <c r="F41" s="26"/>
      <c r="G41" s="26"/>
      <c r="H41" s="26"/>
      <c r="I41" s="26"/>
      <c r="J41" s="26"/>
      <c r="K41" s="26" t="s">
        <v>148</v>
      </c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</row>
    <row r="42" spans="1:42" ht="20.25" customHeight="1">
      <c r="A42" s="24" t="s">
        <v>143</v>
      </c>
      <c r="B42" s="24">
        <v>6200</v>
      </c>
      <c r="C42" s="24" t="s">
        <v>173</v>
      </c>
      <c r="D42" s="26"/>
      <c r="E42" s="26"/>
      <c r="F42" s="26"/>
      <c r="G42" s="26"/>
      <c r="H42" s="26"/>
      <c r="I42" s="26"/>
      <c r="J42" s="26"/>
      <c r="K42" s="26"/>
      <c r="L42" s="26" t="s">
        <v>148</v>
      </c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</row>
    <row r="43" spans="1:42" ht="20.25" customHeight="1">
      <c r="A43" s="24" t="s">
        <v>143</v>
      </c>
      <c r="B43" s="24">
        <v>7880</v>
      </c>
      <c r="C43" s="24" t="s">
        <v>153</v>
      </c>
      <c r="D43" s="26"/>
      <c r="E43" s="26"/>
      <c r="F43" s="26"/>
      <c r="G43" s="26"/>
      <c r="H43" s="26"/>
      <c r="I43" s="26"/>
      <c r="J43" s="26"/>
      <c r="K43" s="26"/>
      <c r="L43" s="26" t="s">
        <v>148</v>
      </c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</row>
    <row r="44" spans="1:42" ht="20.25" customHeight="1">
      <c r="A44" s="24" t="s">
        <v>143</v>
      </c>
      <c r="B44" s="24">
        <v>7800</v>
      </c>
      <c r="C44" s="24" t="s">
        <v>154</v>
      </c>
      <c r="D44" s="26"/>
      <c r="E44" s="26"/>
      <c r="F44" s="26"/>
      <c r="G44" s="26"/>
      <c r="H44" s="26"/>
      <c r="I44" s="26"/>
      <c r="J44" s="26"/>
      <c r="K44" s="26"/>
      <c r="L44" s="26" t="s">
        <v>148</v>
      </c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</row>
    <row r="45" spans="1:42" ht="20.25" customHeight="1">
      <c r="A45" s="24" t="s">
        <v>143</v>
      </c>
      <c r="B45" s="24">
        <v>6200</v>
      </c>
      <c r="C45" s="24" t="s">
        <v>174</v>
      </c>
      <c r="D45" s="26"/>
      <c r="E45" s="26"/>
      <c r="F45" s="26"/>
      <c r="G45" s="26"/>
      <c r="H45" s="26"/>
      <c r="I45" s="26"/>
      <c r="J45" s="26"/>
      <c r="K45" s="26"/>
      <c r="L45" s="26"/>
      <c r="M45" s="26" t="s">
        <v>148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</row>
    <row r="46" spans="1:42" ht="20.25" customHeight="1">
      <c r="A46" s="24" t="s">
        <v>143</v>
      </c>
      <c r="B46" s="24">
        <v>7880</v>
      </c>
      <c r="C46" s="24" t="s">
        <v>153</v>
      </c>
      <c r="D46" s="26"/>
      <c r="E46" s="26"/>
      <c r="F46" s="26"/>
      <c r="G46" s="26"/>
      <c r="H46" s="26"/>
      <c r="I46" s="26"/>
      <c r="J46" s="26"/>
      <c r="K46" s="26"/>
      <c r="L46" s="26"/>
      <c r="M46" s="26" t="s">
        <v>148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</row>
    <row r="47" spans="1:42" ht="20.25" customHeight="1">
      <c r="A47" s="24" t="s">
        <v>143</v>
      </c>
      <c r="B47" s="24">
        <v>7800</v>
      </c>
      <c r="C47" s="24" t="s">
        <v>154</v>
      </c>
      <c r="D47" s="26"/>
      <c r="E47" s="26"/>
      <c r="F47" s="26"/>
      <c r="G47" s="26"/>
      <c r="H47" s="26"/>
      <c r="I47" s="26"/>
      <c r="J47" s="26"/>
      <c r="K47" s="26"/>
      <c r="L47" s="26"/>
      <c r="M47" s="26" t="s">
        <v>148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</row>
    <row r="48" spans="1:42" ht="20.25" customHeight="1">
      <c r="A48" s="24" t="s">
        <v>143</v>
      </c>
      <c r="B48" s="24">
        <v>6200</v>
      </c>
      <c r="C48" s="24" t="s">
        <v>175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 t="s">
        <v>148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</row>
    <row r="49" spans="1:42" ht="20.25" customHeight="1">
      <c r="A49" s="24" t="s">
        <v>143</v>
      </c>
      <c r="B49" s="24">
        <v>7880</v>
      </c>
      <c r="C49" s="24" t="s">
        <v>153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 t="s">
        <v>148</v>
      </c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</row>
    <row r="50" spans="1:42" ht="20.25" customHeight="1">
      <c r="A50" s="24" t="s">
        <v>143</v>
      </c>
      <c r="B50" s="24">
        <v>7800</v>
      </c>
      <c r="C50" s="24" t="s">
        <v>154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 t="s">
        <v>148</v>
      </c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</row>
    <row r="51" spans="1:42" ht="20.25" customHeight="1">
      <c r="A51" s="24" t="s">
        <v>143</v>
      </c>
      <c r="B51" s="24">
        <v>6200</v>
      </c>
      <c r="C51" s="24" t="s">
        <v>176</v>
      </c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 t="s">
        <v>148</v>
      </c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</row>
    <row r="52" spans="1:42" ht="20.25" customHeight="1">
      <c r="A52" s="24" t="s">
        <v>143</v>
      </c>
      <c r="B52" s="24">
        <v>7880</v>
      </c>
      <c r="C52" s="24" t="s">
        <v>153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 t="s">
        <v>148</v>
      </c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</row>
    <row r="53" spans="1:42" ht="20.25" customHeight="1">
      <c r="A53" s="24" t="s">
        <v>143</v>
      </c>
      <c r="B53" s="24">
        <v>7800</v>
      </c>
      <c r="C53" s="24" t="s">
        <v>154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 t="s">
        <v>148</v>
      </c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</row>
    <row r="54" spans="1:42" ht="20.25" customHeight="1">
      <c r="A54" s="24" t="s">
        <v>143</v>
      </c>
      <c r="B54" s="24">
        <v>6200</v>
      </c>
      <c r="C54" s="24" t="s">
        <v>177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 t="s">
        <v>148</v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</row>
    <row r="55" spans="1:42" ht="20.25" customHeight="1">
      <c r="A55" s="24" t="s">
        <v>143</v>
      </c>
      <c r="B55" s="24">
        <v>7880</v>
      </c>
      <c r="C55" s="24" t="s">
        <v>153</v>
      </c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 t="s">
        <v>148</v>
      </c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</row>
    <row r="56" spans="1:42" ht="20.25" customHeight="1">
      <c r="A56" s="24" t="s">
        <v>143</v>
      </c>
      <c r="B56" s="24">
        <v>7800</v>
      </c>
      <c r="C56" s="24" t="s">
        <v>154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 t="s">
        <v>148</v>
      </c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</row>
    <row r="57" spans="1:42" ht="20.25" customHeight="1">
      <c r="A57" s="24" t="s">
        <v>143</v>
      </c>
      <c r="B57" s="24">
        <v>6200</v>
      </c>
      <c r="C57" s="24" t="s">
        <v>178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 t="s">
        <v>148</v>
      </c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</row>
    <row r="58" spans="1:42" ht="20.25" customHeight="1">
      <c r="A58" s="24" t="s">
        <v>143</v>
      </c>
      <c r="B58" s="24">
        <v>7880</v>
      </c>
      <c r="C58" s="24" t="s">
        <v>153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 t="s">
        <v>148</v>
      </c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</row>
    <row r="59" spans="1:42" ht="20.25" customHeight="1">
      <c r="A59" s="24" t="s">
        <v>143</v>
      </c>
      <c r="B59" s="24">
        <v>7800</v>
      </c>
      <c r="C59" s="24" t="s">
        <v>154</v>
      </c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 t="s">
        <v>148</v>
      </c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</row>
    <row r="60" spans="1:42" ht="20.25" customHeight="1">
      <c r="A60" s="24" t="s">
        <v>143</v>
      </c>
      <c r="B60" s="24">
        <v>6200</v>
      </c>
      <c r="C60" s="24" t="s">
        <v>179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 t="s">
        <v>148</v>
      </c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</row>
    <row r="61" spans="1:42" ht="20.25" customHeight="1">
      <c r="A61" s="24" t="s">
        <v>143</v>
      </c>
      <c r="B61" s="24">
        <v>7880</v>
      </c>
      <c r="C61" s="24" t="s">
        <v>153</v>
      </c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 t="s">
        <v>148</v>
      </c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</row>
    <row r="62" spans="1:42" ht="20.25" customHeight="1">
      <c r="A62" s="24" t="s">
        <v>143</v>
      </c>
      <c r="B62" s="24">
        <v>7800</v>
      </c>
      <c r="C62" s="24" t="s">
        <v>154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 t="s">
        <v>148</v>
      </c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</row>
    <row r="63" spans="1:42" ht="20.25" customHeight="1">
      <c r="A63" s="24" t="s">
        <v>143</v>
      </c>
      <c r="B63" s="35"/>
      <c r="C63" s="24" t="s">
        <v>181</v>
      </c>
      <c r="D63" s="26"/>
      <c r="E63" s="26"/>
      <c r="F63" s="26"/>
      <c r="G63" s="26"/>
      <c r="H63" s="26"/>
      <c r="I63" s="26"/>
      <c r="J63" s="26"/>
      <c r="K63" s="26"/>
      <c r="L63" s="26" t="s">
        <v>148</v>
      </c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</row>
    <row r="64" spans="1:42" ht="20.25" customHeight="1">
      <c r="A64" s="24" t="s">
        <v>143</v>
      </c>
      <c r="B64" s="35"/>
      <c r="C64" s="24" t="s">
        <v>180</v>
      </c>
      <c r="D64" s="26"/>
      <c r="E64" s="26"/>
      <c r="F64" s="26"/>
      <c r="G64" s="26"/>
      <c r="H64" s="26"/>
      <c r="I64" s="26"/>
      <c r="J64" s="26"/>
      <c r="K64" s="26"/>
      <c r="L64" s="26"/>
      <c r="M64" s="26" t="s">
        <v>148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</row>
    <row r="65" spans="1:42" ht="20.25" customHeight="1">
      <c r="A65" s="24" t="s">
        <v>182</v>
      </c>
      <c r="B65" s="24">
        <v>7400</v>
      </c>
      <c r="C65" s="24" t="s">
        <v>183</v>
      </c>
      <c r="D65" s="26"/>
      <c r="E65" s="26"/>
      <c r="F65" s="26"/>
      <c r="G65" s="26" t="s">
        <v>148</v>
      </c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</row>
    <row r="66" spans="1:42" ht="20.25" customHeight="1">
      <c r="A66" s="24" t="s">
        <v>182</v>
      </c>
      <c r="B66" s="24">
        <v>7400</v>
      </c>
      <c r="C66" s="24" t="s">
        <v>183</v>
      </c>
      <c r="D66" s="26"/>
      <c r="E66" s="26"/>
      <c r="F66" s="26"/>
      <c r="G66" s="26"/>
      <c r="H66" s="26" t="s">
        <v>148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</row>
    <row r="67" spans="1:42" ht="20.25" customHeight="1">
      <c r="A67" s="24" t="s">
        <v>182</v>
      </c>
      <c r="B67" s="24">
        <v>7400</v>
      </c>
      <c r="C67" s="24" t="s">
        <v>183</v>
      </c>
      <c r="D67" s="26"/>
      <c r="E67" s="26"/>
      <c r="F67" s="26"/>
      <c r="G67" s="26"/>
      <c r="H67" s="26"/>
      <c r="I67" s="26" t="s">
        <v>148</v>
      </c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</row>
    <row r="68" spans="1:42" ht="20.25" customHeight="1">
      <c r="A68" s="24" t="s">
        <v>182</v>
      </c>
      <c r="B68" s="24">
        <v>7400</v>
      </c>
      <c r="C68" s="24" t="s">
        <v>183</v>
      </c>
      <c r="D68" s="26"/>
      <c r="E68" s="26"/>
      <c r="F68" s="26"/>
      <c r="G68" s="26"/>
      <c r="H68" s="26"/>
      <c r="I68" s="26"/>
      <c r="J68" s="26" t="s">
        <v>148</v>
      </c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</row>
    <row r="69" spans="1:42" ht="20.25" customHeight="1">
      <c r="A69" s="24" t="s">
        <v>182</v>
      </c>
      <c r="B69" s="24">
        <v>7400</v>
      </c>
      <c r="C69" s="24" t="s">
        <v>183</v>
      </c>
      <c r="D69" s="26"/>
      <c r="E69" s="26"/>
      <c r="F69" s="26"/>
      <c r="G69" s="26"/>
      <c r="H69" s="26"/>
      <c r="I69" s="26"/>
      <c r="J69" s="26"/>
      <c r="K69" s="26" t="s">
        <v>148</v>
      </c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</row>
    <row r="70" spans="1:42" ht="20.25" customHeight="1">
      <c r="A70" s="24" t="s">
        <v>182</v>
      </c>
      <c r="B70" s="24">
        <v>7400</v>
      </c>
      <c r="C70" s="24" t="s">
        <v>183</v>
      </c>
      <c r="D70" s="26"/>
      <c r="E70" s="26"/>
      <c r="F70" s="26"/>
      <c r="G70" s="26"/>
      <c r="H70" s="26"/>
      <c r="I70" s="26"/>
      <c r="J70" s="26"/>
      <c r="K70" s="26"/>
      <c r="L70" s="26" t="s">
        <v>148</v>
      </c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</row>
    <row r="71" spans="1:42" ht="20.25" customHeight="1">
      <c r="A71" s="24" t="s">
        <v>182</v>
      </c>
      <c r="B71" s="24">
        <v>7400</v>
      </c>
      <c r="C71" s="24" t="s">
        <v>183</v>
      </c>
      <c r="D71" s="26"/>
      <c r="E71" s="26"/>
      <c r="F71" s="26"/>
      <c r="G71" s="26"/>
      <c r="H71" s="26"/>
      <c r="I71" s="26"/>
      <c r="J71" s="26"/>
      <c r="K71" s="26"/>
      <c r="L71" s="26"/>
      <c r="M71" s="26" t="s">
        <v>148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</row>
    <row r="72" spans="1:42" ht="20.25" customHeight="1">
      <c r="A72" s="24" t="s">
        <v>182</v>
      </c>
      <c r="B72" s="24">
        <v>7400</v>
      </c>
      <c r="C72" s="24" t="s">
        <v>183</v>
      </c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 t="s">
        <v>148</v>
      </c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</row>
    <row r="73" spans="1:42" ht="20.25" customHeight="1">
      <c r="A73" s="24" t="s">
        <v>182</v>
      </c>
      <c r="B73" s="24">
        <v>7400</v>
      </c>
      <c r="C73" s="24" t="s">
        <v>183</v>
      </c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 t="s">
        <v>148</v>
      </c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</row>
    <row r="74" spans="1:42" ht="20.25" customHeight="1">
      <c r="A74" s="24" t="s">
        <v>182</v>
      </c>
      <c r="B74" s="24">
        <v>7400</v>
      </c>
      <c r="C74" s="24" t="s">
        <v>183</v>
      </c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 t="s">
        <v>148</v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</row>
    <row r="75" spans="1:42" ht="20.25" customHeight="1">
      <c r="A75" s="24" t="s">
        <v>182</v>
      </c>
      <c r="B75" s="24">
        <v>7400</v>
      </c>
      <c r="C75" s="24" t="s">
        <v>183</v>
      </c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 t="s">
        <v>148</v>
      </c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</row>
    <row r="76" spans="1:42" ht="20.25" customHeight="1">
      <c r="A76" s="24" t="s">
        <v>182</v>
      </c>
      <c r="B76" s="24">
        <v>7400</v>
      </c>
      <c r="C76" s="24" t="s">
        <v>183</v>
      </c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 t="s">
        <v>148</v>
      </c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</row>
    <row r="77" spans="1:42" ht="20.25" customHeight="1">
      <c r="A77" s="24" t="s">
        <v>182</v>
      </c>
      <c r="B77" s="24">
        <v>2000</v>
      </c>
      <c r="C77" s="24" t="s">
        <v>129</v>
      </c>
      <c r="D77" s="26" t="s">
        <v>148</v>
      </c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</row>
    <row r="78" spans="1:42" ht="20.25" customHeight="1">
      <c r="A78" s="24" t="s">
        <v>182</v>
      </c>
      <c r="B78" s="24">
        <v>2000</v>
      </c>
      <c r="C78" s="24" t="s">
        <v>129</v>
      </c>
      <c r="D78" s="26"/>
      <c r="E78" s="26" t="s">
        <v>148</v>
      </c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</row>
    <row r="79" spans="1:42" ht="20.25" customHeight="1">
      <c r="A79" s="24" t="s">
        <v>182</v>
      </c>
      <c r="B79" s="24">
        <v>2000</v>
      </c>
      <c r="C79" s="24" t="s">
        <v>129</v>
      </c>
      <c r="D79" s="26"/>
      <c r="E79" s="26"/>
      <c r="F79" s="26" t="s">
        <v>148</v>
      </c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</row>
    <row r="80" spans="1:42" ht="20.25" customHeight="1">
      <c r="A80" s="24" t="s">
        <v>182</v>
      </c>
      <c r="B80" s="24">
        <v>2000</v>
      </c>
      <c r="C80" s="24" t="s">
        <v>129</v>
      </c>
      <c r="D80" s="26"/>
      <c r="E80" s="26"/>
      <c r="F80" s="26"/>
      <c r="G80" s="26" t="s">
        <v>148</v>
      </c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</row>
    <row r="81" spans="1:42" ht="20.25" customHeight="1">
      <c r="A81" s="24" t="s">
        <v>182</v>
      </c>
      <c r="B81" s="24">
        <v>2000</v>
      </c>
      <c r="C81" s="24" t="s">
        <v>129</v>
      </c>
      <c r="D81" s="26"/>
      <c r="E81" s="26"/>
      <c r="F81" s="26"/>
      <c r="G81" s="26"/>
      <c r="H81" s="26" t="s">
        <v>148</v>
      </c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</row>
    <row r="82" spans="1:42" ht="20.25" customHeight="1">
      <c r="A82" s="24" t="s">
        <v>182</v>
      </c>
      <c r="B82" s="24">
        <v>2000</v>
      </c>
      <c r="C82" s="24" t="s">
        <v>129</v>
      </c>
      <c r="D82" s="26"/>
      <c r="E82" s="26"/>
      <c r="F82" s="26"/>
      <c r="G82" s="26"/>
      <c r="H82" s="26"/>
      <c r="I82" s="26" t="s">
        <v>148</v>
      </c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</row>
    <row r="83" spans="1:42" ht="20.25" customHeight="1">
      <c r="A83" s="24" t="s">
        <v>182</v>
      </c>
      <c r="B83" s="24">
        <v>2000</v>
      </c>
      <c r="C83" s="24" t="s">
        <v>129</v>
      </c>
      <c r="D83" s="26"/>
      <c r="E83" s="26"/>
      <c r="F83" s="26"/>
      <c r="G83" s="26"/>
      <c r="H83" s="26"/>
      <c r="I83" s="26"/>
      <c r="J83" s="26" t="s">
        <v>148</v>
      </c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</row>
    <row r="84" spans="1:42" ht="20.25" customHeight="1">
      <c r="A84" s="24" t="s">
        <v>182</v>
      </c>
      <c r="B84" s="24">
        <v>2000</v>
      </c>
      <c r="C84" s="24" t="s">
        <v>129</v>
      </c>
      <c r="D84" s="26"/>
      <c r="E84" s="26"/>
      <c r="F84" s="26"/>
      <c r="G84" s="26"/>
      <c r="H84" s="26"/>
      <c r="I84" s="26"/>
      <c r="J84" s="26"/>
      <c r="K84" s="26" t="s">
        <v>148</v>
      </c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</row>
    <row r="85" spans="1:42" ht="20.25" customHeight="1">
      <c r="A85" s="24" t="s">
        <v>182</v>
      </c>
      <c r="B85" s="24">
        <v>2000</v>
      </c>
      <c r="C85" s="24" t="s">
        <v>129</v>
      </c>
      <c r="D85" s="26"/>
      <c r="E85" s="26"/>
      <c r="F85" s="26"/>
      <c r="G85" s="26"/>
      <c r="H85" s="26"/>
      <c r="I85" s="26"/>
      <c r="J85" s="26"/>
      <c r="K85" s="26"/>
      <c r="L85" s="26" t="s">
        <v>148</v>
      </c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</row>
    <row r="86" spans="1:42" ht="20.25" customHeight="1">
      <c r="A86" s="24" t="s">
        <v>182</v>
      </c>
      <c r="B86" s="24">
        <v>2000</v>
      </c>
      <c r="C86" s="24" t="s">
        <v>129</v>
      </c>
      <c r="D86" s="26"/>
      <c r="E86" s="26"/>
      <c r="F86" s="26"/>
      <c r="G86" s="26"/>
      <c r="H86" s="26"/>
      <c r="I86" s="26"/>
      <c r="J86" s="26"/>
      <c r="K86" s="26"/>
      <c r="L86" s="26"/>
      <c r="M86" s="26" t="s">
        <v>148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</row>
    <row r="87" spans="1:42" ht="20.25" customHeight="1">
      <c r="A87" s="24" t="s">
        <v>182</v>
      </c>
      <c r="B87" s="24">
        <v>2000</v>
      </c>
      <c r="C87" s="24" t="s">
        <v>129</v>
      </c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 t="s">
        <v>148</v>
      </c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</row>
    <row r="88" spans="1:42" ht="20.25" customHeight="1">
      <c r="A88" s="24" t="s">
        <v>182</v>
      </c>
      <c r="B88" s="24">
        <v>2000</v>
      </c>
      <c r="C88" s="24" t="s">
        <v>129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 t="s">
        <v>148</v>
      </c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</row>
    <row r="89" spans="1:42" ht="20.25" customHeight="1">
      <c r="A89" s="24" t="s">
        <v>182</v>
      </c>
      <c r="B89" s="24">
        <v>2000</v>
      </c>
      <c r="C89" s="24" t="s">
        <v>129</v>
      </c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 t="s">
        <v>148</v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</row>
    <row r="90" spans="1:42" ht="20.25" customHeight="1">
      <c r="A90" s="24" t="s">
        <v>182</v>
      </c>
      <c r="B90" s="24">
        <v>2000</v>
      </c>
      <c r="C90" s="24" t="s">
        <v>129</v>
      </c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 t="s">
        <v>148</v>
      </c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</row>
    <row r="91" spans="1:42" ht="20.25" customHeight="1">
      <c r="A91" s="24" t="s">
        <v>182</v>
      </c>
      <c r="B91" s="24">
        <v>2000</v>
      </c>
      <c r="C91" s="24" t="s">
        <v>129</v>
      </c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 t="s">
        <v>148</v>
      </c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</row>
    <row r="92" spans="1:42" ht="20.25" customHeight="1">
      <c r="A92" s="24" t="s">
        <v>165</v>
      </c>
      <c r="B92" s="24">
        <v>2000</v>
      </c>
      <c r="C92" s="24" t="s">
        <v>184</v>
      </c>
      <c r="D92" s="26"/>
      <c r="E92" s="26" t="s">
        <v>148</v>
      </c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</row>
    <row r="93" spans="1:42" ht="20.25" customHeight="1">
      <c r="A93" s="24" t="s">
        <v>165</v>
      </c>
      <c r="B93" s="24">
        <v>2000</v>
      </c>
      <c r="C93" s="24" t="s">
        <v>184</v>
      </c>
      <c r="D93" s="26"/>
      <c r="E93" s="26"/>
      <c r="F93" s="26" t="s">
        <v>148</v>
      </c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</row>
    <row r="94" spans="1:42" ht="20.25" customHeight="1">
      <c r="A94" s="24" t="s">
        <v>165</v>
      </c>
      <c r="B94" s="24">
        <v>2000</v>
      </c>
      <c r="C94" s="24" t="s">
        <v>184</v>
      </c>
      <c r="D94" s="26"/>
      <c r="E94" s="26"/>
      <c r="F94" s="26"/>
      <c r="G94" s="26" t="s">
        <v>148</v>
      </c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</row>
    <row r="95" spans="1:42" ht="20.25" customHeight="1">
      <c r="A95" s="24" t="s">
        <v>165</v>
      </c>
      <c r="B95" s="24">
        <v>2000</v>
      </c>
      <c r="C95" s="24" t="s">
        <v>184</v>
      </c>
      <c r="D95" s="26"/>
      <c r="E95" s="26"/>
      <c r="F95" s="26"/>
      <c r="G95" s="26"/>
      <c r="H95" s="26" t="s">
        <v>148</v>
      </c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</row>
    <row r="96" spans="1:42" ht="20.25" customHeight="1">
      <c r="A96" s="24" t="s">
        <v>165</v>
      </c>
      <c r="B96" s="24">
        <v>2000</v>
      </c>
      <c r="C96" s="24" t="s">
        <v>184</v>
      </c>
      <c r="D96" s="26"/>
      <c r="E96" s="26"/>
      <c r="F96" s="26"/>
      <c r="G96" s="26"/>
      <c r="H96" s="26"/>
      <c r="I96" s="26" t="s">
        <v>148</v>
      </c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</row>
    <row r="97" spans="1:42" ht="20.25" customHeight="1">
      <c r="A97" s="24" t="s">
        <v>165</v>
      </c>
      <c r="B97" s="24">
        <v>3500</v>
      </c>
      <c r="C97" s="24" t="s">
        <v>185</v>
      </c>
      <c r="D97" s="26"/>
      <c r="E97" s="26"/>
      <c r="F97" s="26"/>
      <c r="G97" s="26"/>
      <c r="H97" s="26"/>
      <c r="I97" s="26"/>
      <c r="J97" s="26" t="s">
        <v>148</v>
      </c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</row>
    <row r="98" spans="1:42" ht="20.25" customHeight="1">
      <c r="A98" s="24" t="s">
        <v>165</v>
      </c>
      <c r="B98" s="24">
        <v>3500</v>
      </c>
      <c r="C98" s="24" t="s">
        <v>185</v>
      </c>
      <c r="D98" s="26"/>
      <c r="E98" s="26"/>
      <c r="F98" s="26"/>
      <c r="G98" s="26"/>
      <c r="H98" s="26"/>
      <c r="I98" s="26"/>
      <c r="J98" s="26"/>
      <c r="K98" s="26" t="s">
        <v>148</v>
      </c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</row>
    <row r="99" spans="1:42" ht="20.25" customHeight="1">
      <c r="A99" s="24" t="s">
        <v>165</v>
      </c>
      <c r="B99" s="24">
        <v>3500</v>
      </c>
      <c r="C99" s="24" t="s">
        <v>185</v>
      </c>
      <c r="D99" s="26"/>
      <c r="E99" s="26"/>
      <c r="F99" s="26"/>
      <c r="G99" s="26"/>
      <c r="H99" s="26"/>
      <c r="I99" s="26"/>
      <c r="J99" s="26"/>
      <c r="K99" s="26"/>
      <c r="L99" s="26" t="s">
        <v>148</v>
      </c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</row>
    <row r="100" spans="1:42" ht="20.25" customHeight="1">
      <c r="A100" s="24" t="s">
        <v>165</v>
      </c>
      <c r="B100" s="24">
        <v>3500</v>
      </c>
      <c r="C100" s="24" t="s">
        <v>185</v>
      </c>
      <c r="D100" s="26"/>
      <c r="E100" s="26"/>
      <c r="F100" s="26"/>
      <c r="G100" s="26"/>
      <c r="H100" s="26"/>
      <c r="I100" s="26"/>
      <c r="J100" s="26"/>
      <c r="K100" s="26"/>
      <c r="L100" s="26"/>
      <c r="M100" s="26" t="s">
        <v>148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</row>
    <row r="101" spans="1:42" ht="20.25" customHeight="1">
      <c r="A101" s="24" t="s">
        <v>165</v>
      </c>
      <c r="B101" s="24">
        <v>3500</v>
      </c>
      <c r="C101" s="24" t="s">
        <v>185</v>
      </c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 t="s">
        <v>148</v>
      </c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</row>
    <row r="102" spans="1:42" ht="20.25" customHeight="1">
      <c r="A102" s="24" t="s">
        <v>165</v>
      </c>
      <c r="B102" s="24">
        <v>3500</v>
      </c>
      <c r="C102" s="24" t="s">
        <v>185</v>
      </c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 t="s">
        <v>148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</row>
    <row r="103" spans="1:42" ht="20.25" customHeight="1">
      <c r="A103" s="24" t="s">
        <v>165</v>
      </c>
      <c r="B103" s="24">
        <v>900</v>
      </c>
      <c r="C103" s="24" t="s">
        <v>186</v>
      </c>
      <c r="D103" s="26"/>
      <c r="E103" s="26" t="s">
        <v>148</v>
      </c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</row>
    <row r="104" spans="1:42" ht="20.25" customHeight="1">
      <c r="A104" s="24" t="s">
        <v>165</v>
      </c>
      <c r="B104" s="24">
        <v>900</v>
      </c>
      <c r="C104" s="24" t="s">
        <v>186</v>
      </c>
      <c r="D104" s="26"/>
      <c r="E104" s="26"/>
      <c r="F104" s="26" t="s">
        <v>148</v>
      </c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</row>
    <row r="105" spans="1:42" ht="20.25" customHeight="1">
      <c r="A105" s="24" t="s">
        <v>165</v>
      </c>
      <c r="B105" s="24">
        <v>900</v>
      </c>
      <c r="C105" s="24" t="s">
        <v>186</v>
      </c>
      <c r="D105" s="26"/>
      <c r="E105" s="26"/>
      <c r="F105" s="26"/>
      <c r="G105" s="26" t="s">
        <v>148</v>
      </c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</row>
    <row r="106" spans="1:42" ht="20.25" customHeight="1">
      <c r="A106" s="24" t="s">
        <v>165</v>
      </c>
      <c r="B106" s="24">
        <v>900</v>
      </c>
      <c r="C106" s="24" t="s">
        <v>186</v>
      </c>
      <c r="D106" s="26"/>
      <c r="E106" s="26"/>
      <c r="F106" s="26"/>
      <c r="G106" s="26"/>
      <c r="H106" s="26" t="s">
        <v>148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</row>
    <row r="107" spans="1:42" ht="20.25" customHeight="1">
      <c r="A107" s="24" t="s">
        <v>165</v>
      </c>
      <c r="B107" s="24">
        <v>900</v>
      </c>
      <c r="C107" s="24" t="s">
        <v>186</v>
      </c>
      <c r="D107" s="26"/>
      <c r="E107" s="26"/>
      <c r="F107" s="26"/>
      <c r="G107" s="26"/>
      <c r="H107" s="26"/>
      <c r="I107" s="26" t="s">
        <v>148</v>
      </c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</row>
    <row r="108" spans="1:42" ht="20.25" customHeight="1">
      <c r="A108" s="24" t="s">
        <v>165</v>
      </c>
      <c r="B108" s="24">
        <v>900</v>
      </c>
      <c r="C108" s="24" t="s">
        <v>186</v>
      </c>
      <c r="D108" s="26"/>
      <c r="E108" s="26"/>
      <c r="F108" s="26"/>
      <c r="G108" s="26"/>
      <c r="H108" s="26"/>
      <c r="I108" s="26"/>
      <c r="J108" s="26" t="s">
        <v>148</v>
      </c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</row>
    <row r="109" spans="1:42" ht="20.25" customHeight="1">
      <c r="A109" s="24" t="s">
        <v>165</v>
      </c>
      <c r="B109" s="24">
        <v>900</v>
      </c>
      <c r="C109" s="24" t="s">
        <v>186</v>
      </c>
      <c r="D109" s="26"/>
      <c r="E109" s="26"/>
      <c r="F109" s="26"/>
      <c r="G109" s="26"/>
      <c r="H109" s="26"/>
      <c r="I109" s="26"/>
      <c r="J109" s="26"/>
      <c r="K109" s="26" t="s">
        <v>148</v>
      </c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</row>
    <row r="110" spans="1:42" ht="20.25" customHeight="1">
      <c r="A110" s="24" t="s">
        <v>165</v>
      </c>
      <c r="B110" s="24">
        <v>900</v>
      </c>
      <c r="C110" s="24" t="s">
        <v>186</v>
      </c>
      <c r="D110" s="26"/>
      <c r="E110" s="26"/>
      <c r="F110" s="26"/>
      <c r="G110" s="26"/>
      <c r="H110" s="26"/>
      <c r="I110" s="26"/>
      <c r="J110" s="26"/>
      <c r="K110" s="26"/>
      <c r="L110" s="26" t="s">
        <v>148</v>
      </c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</row>
    <row r="111" spans="1:42" ht="20.25" customHeight="1">
      <c r="A111" s="24" t="s">
        <v>165</v>
      </c>
      <c r="B111" s="24">
        <v>900</v>
      </c>
      <c r="C111" s="24" t="s">
        <v>186</v>
      </c>
      <c r="D111" s="26"/>
      <c r="E111" s="26"/>
      <c r="F111" s="26"/>
      <c r="G111" s="26"/>
      <c r="H111" s="26"/>
      <c r="I111" s="26"/>
      <c r="J111" s="26"/>
      <c r="K111" s="26"/>
      <c r="L111" s="26"/>
      <c r="M111" s="26" t="s">
        <v>148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</row>
    <row r="112" spans="1:42" ht="20.25" customHeight="1">
      <c r="A112" s="24" t="s">
        <v>165</v>
      </c>
      <c r="B112" s="24">
        <v>900</v>
      </c>
      <c r="C112" s="24" t="s">
        <v>186</v>
      </c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 t="s">
        <v>148</v>
      </c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</row>
    <row r="113" spans="1:42" ht="20.25" customHeight="1">
      <c r="A113" s="24" t="s">
        <v>165</v>
      </c>
      <c r="B113" s="24">
        <v>900</v>
      </c>
      <c r="C113" s="24" t="s">
        <v>186</v>
      </c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 t="s">
        <v>148</v>
      </c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</row>
    <row r="114" spans="1:42" ht="20.25" customHeight="1">
      <c r="A114" s="24" t="s">
        <v>165</v>
      </c>
      <c r="B114" s="24">
        <v>900</v>
      </c>
      <c r="C114" s="24" t="s">
        <v>186</v>
      </c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 t="s">
        <v>148</v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</row>
    <row r="115" spans="1:42" ht="20.25" customHeight="1">
      <c r="A115" s="24" t="s">
        <v>165</v>
      </c>
      <c r="B115" s="24">
        <v>900</v>
      </c>
      <c r="C115" s="24" t="s">
        <v>186</v>
      </c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 t="s">
        <v>148</v>
      </c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</row>
    <row r="116" spans="1:42" ht="20.25" customHeight="1">
      <c r="A116" s="24" t="s">
        <v>165</v>
      </c>
      <c r="B116" s="24">
        <v>900</v>
      </c>
      <c r="C116" s="24" t="s">
        <v>186</v>
      </c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 t="s">
        <v>148</v>
      </c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</row>
    <row r="117" spans="1:42" ht="20.25" customHeight="1">
      <c r="A117" s="24" t="s">
        <v>165</v>
      </c>
      <c r="B117" s="24">
        <v>1045</v>
      </c>
      <c r="C117" s="36" t="s">
        <v>187</v>
      </c>
      <c r="D117" s="26"/>
      <c r="E117" s="26" t="s">
        <v>148</v>
      </c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</row>
    <row r="118" spans="1:42" ht="20.25" customHeight="1">
      <c r="A118" s="24" t="s">
        <v>165</v>
      </c>
      <c r="B118" s="24">
        <v>1045</v>
      </c>
      <c r="C118" s="36" t="s">
        <v>187</v>
      </c>
      <c r="D118" s="26"/>
      <c r="E118" s="26"/>
      <c r="F118" s="26" t="s">
        <v>148</v>
      </c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</row>
    <row r="119" spans="1:42" ht="20.25" customHeight="1">
      <c r="A119" s="24" t="s">
        <v>165</v>
      </c>
      <c r="B119" s="24">
        <v>1045</v>
      </c>
      <c r="C119" s="36" t="s">
        <v>187</v>
      </c>
      <c r="D119" s="26"/>
      <c r="E119" s="26"/>
      <c r="F119" s="26"/>
      <c r="G119" s="26" t="s">
        <v>148</v>
      </c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</row>
    <row r="120" spans="1:42" ht="20.25" customHeight="1">
      <c r="A120" s="24" t="s">
        <v>165</v>
      </c>
      <c r="B120" s="24">
        <v>1045</v>
      </c>
      <c r="C120" s="36" t="s">
        <v>187</v>
      </c>
      <c r="D120" s="26"/>
      <c r="E120" s="26"/>
      <c r="F120" s="26"/>
      <c r="G120" s="26"/>
      <c r="H120" s="26" t="s">
        <v>148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</row>
    <row r="121" spans="1:42" ht="20.25" customHeight="1">
      <c r="A121" s="24" t="s">
        <v>165</v>
      </c>
      <c r="B121" s="24">
        <v>1045</v>
      </c>
      <c r="C121" s="36" t="s">
        <v>187</v>
      </c>
      <c r="D121" s="26"/>
      <c r="E121" s="26"/>
      <c r="F121" s="26"/>
      <c r="G121" s="26"/>
      <c r="H121" s="26"/>
      <c r="I121" s="26" t="s">
        <v>148</v>
      </c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</row>
    <row r="122" spans="1:42" ht="20.25" customHeight="1">
      <c r="A122" s="24" t="s">
        <v>165</v>
      </c>
      <c r="B122" s="24">
        <v>1045</v>
      </c>
      <c r="C122" s="36" t="s">
        <v>187</v>
      </c>
      <c r="D122" s="26"/>
      <c r="E122" s="26"/>
      <c r="F122" s="26"/>
      <c r="G122" s="26"/>
      <c r="H122" s="26"/>
      <c r="I122" s="26"/>
      <c r="J122" s="26" t="s">
        <v>148</v>
      </c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</row>
    <row r="123" spans="1:42" ht="20.25" customHeight="1">
      <c r="A123" s="24" t="s">
        <v>165</v>
      </c>
      <c r="B123" s="24">
        <v>1045</v>
      </c>
      <c r="C123" s="36" t="s">
        <v>187</v>
      </c>
      <c r="D123" s="26"/>
      <c r="E123" s="26"/>
      <c r="F123" s="26"/>
      <c r="G123" s="26"/>
      <c r="H123" s="26"/>
      <c r="I123" s="26"/>
      <c r="J123" s="26"/>
      <c r="K123" s="26" t="s">
        <v>148</v>
      </c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</row>
    <row r="124" spans="1:42" ht="20.25" customHeight="1">
      <c r="A124" s="24" t="s">
        <v>165</v>
      </c>
      <c r="B124" s="24">
        <v>1045</v>
      </c>
      <c r="C124" s="36" t="s">
        <v>187</v>
      </c>
      <c r="D124" s="26"/>
      <c r="E124" s="26"/>
      <c r="F124" s="26"/>
      <c r="G124" s="26"/>
      <c r="H124" s="26"/>
      <c r="I124" s="26"/>
      <c r="J124" s="26"/>
      <c r="K124" s="26"/>
      <c r="L124" s="26" t="s">
        <v>148</v>
      </c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</row>
    <row r="125" spans="1:42" ht="20.25" customHeight="1">
      <c r="A125" s="24" t="s">
        <v>165</v>
      </c>
      <c r="B125" s="24">
        <v>1045</v>
      </c>
      <c r="C125" s="36" t="s">
        <v>187</v>
      </c>
      <c r="D125" s="26"/>
      <c r="E125" s="26"/>
      <c r="F125" s="26"/>
      <c r="G125" s="26"/>
      <c r="H125" s="26"/>
      <c r="I125" s="26"/>
      <c r="J125" s="26"/>
      <c r="K125" s="26"/>
      <c r="L125" s="26"/>
      <c r="M125" s="26" t="s">
        <v>148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</row>
    <row r="126" spans="1:42" ht="20.25" customHeight="1">
      <c r="A126" s="24" t="s">
        <v>165</v>
      </c>
      <c r="B126" s="24">
        <v>1045</v>
      </c>
      <c r="C126" s="36" t="s">
        <v>187</v>
      </c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 t="s">
        <v>148</v>
      </c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</row>
    <row r="127" spans="1:42" ht="20.25" customHeight="1">
      <c r="A127" s="24" t="s">
        <v>165</v>
      </c>
      <c r="B127" s="24">
        <v>1045</v>
      </c>
      <c r="C127" s="36" t="s">
        <v>187</v>
      </c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 t="s">
        <v>148</v>
      </c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</row>
    <row r="128" spans="1:42" ht="20.25" customHeight="1">
      <c r="A128" s="24" t="s">
        <v>165</v>
      </c>
      <c r="B128" s="24">
        <v>1045</v>
      </c>
      <c r="C128" s="36" t="s">
        <v>187</v>
      </c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 t="s">
        <v>148</v>
      </c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</row>
    <row r="129" spans="1:42" ht="20.25" customHeight="1">
      <c r="A129" s="24" t="s">
        <v>165</v>
      </c>
      <c r="B129" s="24">
        <v>1045</v>
      </c>
      <c r="C129" s="36" t="s">
        <v>187</v>
      </c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 t="s">
        <v>148</v>
      </c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</row>
    <row r="130" spans="1:42" ht="20.25" customHeight="1">
      <c r="A130" s="24" t="s">
        <v>165</v>
      </c>
      <c r="B130" s="24">
        <v>1045</v>
      </c>
      <c r="C130" s="36" t="s">
        <v>187</v>
      </c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 t="s">
        <v>148</v>
      </c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</row>
    <row r="131" spans="1:42" ht="20.25" customHeight="1">
      <c r="A131" s="24" t="s">
        <v>165</v>
      </c>
      <c r="B131" s="24">
        <v>5000</v>
      </c>
      <c r="C131" s="24" t="s">
        <v>188</v>
      </c>
      <c r="D131" s="26"/>
      <c r="E131" s="26" t="s">
        <v>148</v>
      </c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</row>
    <row r="132" spans="1:42" ht="20.25" customHeight="1">
      <c r="A132" s="24" t="s">
        <v>165</v>
      </c>
      <c r="B132" s="24">
        <v>5000</v>
      </c>
      <c r="C132" s="24" t="s">
        <v>188</v>
      </c>
      <c r="D132" s="26"/>
      <c r="E132" s="26"/>
      <c r="F132" s="26" t="s">
        <v>148</v>
      </c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</row>
    <row r="133" spans="1:42" ht="20.25" customHeight="1">
      <c r="A133" s="24" t="s">
        <v>165</v>
      </c>
      <c r="B133" s="24">
        <v>5000</v>
      </c>
      <c r="C133" s="24" t="s">
        <v>188</v>
      </c>
      <c r="D133" s="26"/>
      <c r="E133" s="26"/>
      <c r="F133" s="26"/>
      <c r="G133" s="26" t="s">
        <v>148</v>
      </c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</row>
    <row r="134" spans="1:42" ht="20.25" customHeight="1">
      <c r="A134" s="24" t="s">
        <v>165</v>
      </c>
      <c r="B134" s="24">
        <v>5000</v>
      </c>
      <c r="C134" s="24" t="s">
        <v>188</v>
      </c>
      <c r="D134" s="26"/>
      <c r="E134" s="26"/>
      <c r="F134" s="26"/>
      <c r="G134" s="26"/>
      <c r="H134" s="26" t="s">
        <v>148</v>
      </c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</row>
    <row r="135" spans="1:42" ht="20.25" customHeight="1">
      <c r="A135" s="24" t="s">
        <v>165</v>
      </c>
      <c r="B135" s="24">
        <v>5000</v>
      </c>
      <c r="C135" s="24" t="s">
        <v>188</v>
      </c>
      <c r="D135" s="26"/>
      <c r="E135" s="26"/>
      <c r="F135" s="26"/>
      <c r="G135" s="26"/>
      <c r="H135" s="26"/>
      <c r="I135" s="26" t="s">
        <v>148</v>
      </c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</row>
    <row r="136" spans="1:42" ht="20.25" customHeight="1">
      <c r="A136" s="24" t="s">
        <v>165</v>
      </c>
      <c r="B136" s="24">
        <v>5000</v>
      </c>
      <c r="C136" s="24" t="s">
        <v>188</v>
      </c>
      <c r="D136" s="26"/>
      <c r="E136" s="26"/>
      <c r="F136" s="26"/>
      <c r="G136" s="26"/>
      <c r="H136" s="26"/>
      <c r="I136" s="26"/>
      <c r="J136" s="26" t="s">
        <v>148</v>
      </c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</row>
    <row r="137" spans="1:42" ht="20.25" customHeight="1">
      <c r="A137" s="24" t="s">
        <v>165</v>
      </c>
      <c r="B137" s="24">
        <v>5000</v>
      </c>
      <c r="C137" s="24" t="s">
        <v>188</v>
      </c>
      <c r="D137" s="26"/>
      <c r="E137" s="26"/>
      <c r="F137" s="26"/>
      <c r="G137" s="26"/>
      <c r="H137" s="26"/>
      <c r="I137" s="26"/>
      <c r="J137" s="26"/>
      <c r="K137" s="26" t="s">
        <v>148</v>
      </c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</row>
    <row r="138" spans="1:42" ht="20.25" customHeight="1">
      <c r="A138" s="24" t="s">
        <v>165</v>
      </c>
      <c r="B138" s="24">
        <v>5000</v>
      </c>
      <c r="C138" s="24" t="s">
        <v>188</v>
      </c>
      <c r="D138" s="26"/>
      <c r="E138" s="26"/>
      <c r="F138" s="26"/>
      <c r="G138" s="26"/>
      <c r="H138" s="26"/>
      <c r="I138" s="26"/>
      <c r="J138" s="26"/>
      <c r="K138" s="26"/>
      <c r="L138" s="26" t="s">
        <v>148</v>
      </c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</row>
    <row r="139" spans="1:42" ht="20.25" customHeight="1">
      <c r="A139" s="24" t="s">
        <v>165</v>
      </c>
      <c r="B139" s="24">
        <v>5000</v>
      </c>
      <c r="C139" s="24" t="s">
        <v>188</v>
      </c>
      <c r="D139" s="26"/>
      <c r="E139" s="26"/>
      <c r="F139" s="26"/>
      <c r="G139" s="26"/>
      <c r="H139" s="26"/>
      <c r="I139" s="26"/>
      <c r="J139" s="26"/>
      <c r="K139" s="26"/>
      <c r="L139" s="26"/>
      <c r="M139" s="26" t="s">
        <v>148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</row>
    <row r="140" spans="1:42" ht="20.25" customHeight="1">
      <c r="A140" s="24" t="s">
        <v>165</v>
      </c>
      <c r="B140" s="24">
        <v>5000</v>
      </c>
      <c r="C140" s="24" t="s">
        <v>188</v>
      </c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 t="s">
        <v>148</v>
      </c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</row>
    <row r="141" spans="1:42" ht="20.25" customHeight="1">
      <c r="A141" s="24" t="s">
        <v>165</v>
      </c>
      <c r="B141" s="24">
        <v>5000</v>
      </c>
      <c r="C141" s="24" t="s">
        <v>188</v>
      </c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 t="s">
        <v>148</v>
      </c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</row>
    <row r="142" spans="1:42" ht="20.25" customHeight="1">
      <c r="A142" s="24" t="s">
        <v>165</v>
      </c>
      <c r="B142" s="24">
        <v>5000</v>
      </c>
      <c r="C142" s="24" t="s">
        <v>188</v>
      </c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 t="s">
        <v>148</v>
      </c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</row>
    <row r="143" spans="1:42" ht="20.25" customHeight="1">
      <c r="A143" s="24" t="s">
        <v>165</v>
      </c>
      <c r="B143" s="24">
        <v>5000</v>
      </c>
      <c r="C143" s="24" t="s">
        <v>188</v>
      </c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 t="s">
        <v>148</v>
      </c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</row>
    <row r="144" spans="1:42" ht="20.25" customHeight="1">
      <c r="A144" s="24" t="s">
        <v>165</v>
      </c>
      <c r="B144" s="24">
        <v>5000</v>
      </c>
      <c r="C144" s="24" t="s">
        <v>188</v>
      </c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 t="s">
        <v>148</v>
      </c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</row>
    <row r="145" spans="1:42" ht="20.25" customHeight="1">
      <c r="A145" s="24" t="s">
        <v>165</v>
      </c>
      <c r="B145" s="24">
        <v>1500</v>
      </c>
      <c r="C145" s="24" t="s">
        <v>189</v>
      </c>
      <c r="D145" s="26"/>
      <c r="E145" s="26" t="s">
        <v>148</v>
      </c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</row>
    <row r="146" spans="1:42" ht="20.25" customHeight="1">
      <c r="A146" s="24" t="s">
        <v>165</v>
      </c>
      <c r="B146" s="24">
        <v>7000</v>
      </c>
      <c r="C146" s="24" t="s">
        <v>190</v>
      </c>
      <c r="D146" s="26" t="s">
        <v>148</v>
      </c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</row>
    <row r="147" spans="1:42" ht="20.25" customHeight="1">
      <c r="A147" s="24" t="s">
        <v>165</v>
      </c>
      <c r="B147" s="24">
        <v>1500</v>
      </c>
      <c r="C147" s="24" t="s">
        <v>191</v>
      </c>
      <c r="D147" s="26"/>
      <c r="E147" s="26"/>
      <c r="F147" s="26"/>
      <c r="G147" s="26"/>
      <c r="H147" s="26" t="s">
        <v>148</v>
      </c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</row>
    <row r="148" spans="1:42" ht="20.25" customHeight="1">
      <c r="A148" s="24" t="s">
        <v>165</v>
      </c>
      <c r="B148" s="24">
        <v>7500</v>
      </c>
      <c r="C148" s="24" t="s">
        <v>192</v>
      </c>
      <c r="D148" s="26"/>
      <c r="E148" s="26"/>
      <c r="F148" s="26"/>
      <c r="G148" s="26"/>
      <c r="H148" s="26" t="s">
        <v>148</v>
      </c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</row>
    <row r="149" spans="1:42" ht="20.25" customHeight="1">
      <c r="A149" s="24" t="s">
        <v>165</v>
      </c>
      <c r="B149" s="24">
        <v>5000</v>
      </c>
      <c r="C149" s="24" t="s">
        <v>193</v>
      </c>
      <c r="D149" s="26"/>
      <c r="E149" s="26"/>
      <c r="F149" s="26"/>
      <c r="G149" s="26" t="s">
        <v>148</v>
      </c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</row>
    <row r="150" spans="1:42" ht="20.25" customHeight="1">
      <c r="A150" s="24" t="s">
        <v>165</v>
      </c>
      <c r="B150" s="24">
        <v>13000</v>
      </c>
      <c r="C150" s="24" t="s">
        <v>194</v>
      </c>
      <c r="D150" s="26" t="s">
        <v>148</v>
      </c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</row>
    <row r="151" spans="1:42" ht="20.25" customHeight="1">
      <c r="A151" s="24" t="s">
        <v>151</v>
      </c>
      <c r="B151" s="24">
        <v>23000</v>
      </c>
      <c r="C151" s="24" t="s">
        <v>197</v>
      </c>
      <c r="D151" s="26"/>
      <c r="E151" s="26"/>
      <c r="F151" s="26" t="s">
        <v>148</v>
      </c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</row>
    <row r="152" spans="1:42" ht="20.25" customHeight="1">
      <c r="A152" s="24" t="s">
        <v>195</v>
      </c>
      <c r="B152" s="24">
        <v>13000</v>
      </c>
      <c r="C152" s="24" t="s">
        <v>200</v>
      </c>
      <c r="D152" s="26"/>
      <c r="E152" s="26" t="s">
        <v>148</v>
      </c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</row>
    <row r="153" spans="1:42" ht="20.25" customHeight="1">
      <c r="A153" s="24" t="s">
        <v>151</v>
      </c>
      <c r="B153" s="24">
        <v>25000</v>
      </c>
      <c r="C153" s="24" t="s">
        <v>196</v>
      </c>
      <c r="D153" s="26"/>
      <c r="E153" s="26"/>
      <c r="F153" s="26"/>
      <c r="G153" s="26"/>
      <c r="H153" s="26"/>
      <c r="I153" s="26"/>
      <c r="J153" s="26" t="s">
        <v>148</v>
      </c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</row>
    <row r="154" spans="1:42" ht="20.25" customHeight="1">
      <c r="A154" s="24" t="s">
        <v>165</v>
      </c>
      <c r="B154" s="24">
        <v>4900</v>
      </c>
      <c r="C154" s="24" t="s">
        <v>198</v>
      </c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 t="s">
        <v>148</v>
      </c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</row>
    <row r="155" spans="1:42" ht="20.25" customHeight="1">
      <c r="A155" s="24" t="s">
        <v>165</v>
      </c>
      <c r="B155" s="24">
        <v>2700</v>
      </c>
      <c r="C155" s="24" t="s">
        <v>199</v>
      </c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 t="s">
        <v>148</v>
      </c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</row>
    <row r="156" spans="1:42" ht="20.25" customHeight="1">
      <c r="A156" s="24" t="s">
        <v>195</v>
      </c>
      <c r="B156" s="24"/>
      <c r="C156" s="24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</row>
    <row r="157" spans="1:42" ht="20.25" customHeight="1">
      <c r="A157" s="24" t="s">
        <v>195</v>
      </c>
      <c r="B157" s="24"/>
      <c r="C157" s="24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</row>
    <row r="158" spans="1:42" ht="20.25" customHeight="1">
      <c r="A158" s="24" t="s">
        <v>195</v>
      </c>
      <c r="B158" s="24"/>
      <c r="C158" s="24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</row>
    <row r="159" spans="1:42" ht="20.25" customHeight="1">
      <c r="A159" s="24" t="s">
        <v>195</v>
      </c>
      <c r="B159" s="24"/>
      <c r="C159" s="24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</row>
    <row r="160" spans="1:42" ht="20.25" customHeight="1">
      <c r="A160" s="24" t="s">
        <v>195</v>
      </c>
      <c r="B160" s="24"/>
      <c r="C160" s="24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</row>
    <row r="161" spans="1:42" ht="20.25" customHeight="1">
      <c r="A161" s="24" t="s">
        <v>195</v>
      </c>
      <c r="B161" s="24"/>
      <c r="C161" s="24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</row>
    <row r="162" spans="1:42" ht="20.25" customHeight="1">
      <c r="A162" s="24" t="s">
        <v>195</v>
      </c>
      <c r="B162" s="24"/>
      <c r="C162" s="24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</row>
    <row r="163" spans="1:42" ht="20.25" customHeight="1">
      <c r="A163" s="24" t="s">
        <v>195</v>
      </c>
      <c r="B163" s="24"/>
      <c r="C163" s="24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</row>
    <row r="164" spans="1:42" ht="20.25" customHeight="1">
      <c r="A164" s="24" t="s">
        <v>195</v>
      </c>
      <c r="B164" s="24"/>
      <c r="C164" s="24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</row>
    <row r="165" spans="1:42" ht="20.25" customHeight="1">
      <c r="A165" s="24"/>
      <c r="B165" s="24"/>
      <c r="C165" s="24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</row>
    <row r="166" spans="1:42" ht="20.25" customHeight="1">
      <c r="A166" s="24"/>
      <c r="B166" s="24"/>
      <c r="C166" s="24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</row>
    <row r="167" spans="1:42" ht="20.25" customHeight="1">
      <c r="A167" s="24"/>
      <c r="B167" s="24"/>
      <c r="C167" s="24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</row>
    <row r="168" spans="1:42" ht="20.25" customHeight="1">
      <c r="A168" s="24"/>
      <c r="B168" s="24"/>
      <c r="C168" s="24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</row>
    <row r="169" spans="1:42" ht="20.25" customHeight="1">
      <c r="A169" s="24"/>
      <c r="B169" s="24"/>
      <c r="C169" s="24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</row>
    <row r="170" spans="1:42" ht="20.25" customHeight="1">
      <c r="A170" s="24"/>
      <c r="B170" s="24"/>
      <c r="C170" s="24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</row>
    <row r="171" spans="1:42" ht="20.25" customHeight="1">
      <c r="A171" s="24"/>
      <c r="B171" s="24"/>
      <c r="C171" s="24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</row>
    <row r="172" spans="1:42" ht="20.25" customHeight="1">
      <c r="A172" s="24"/>
      <c r="B172" s="24"/>
      <c r="C172" s="24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</row>
    <row r="173" spans="1:42" ht="20.25" customHeight="1">
      <c r="A173" s="24"/>
      <c r="B173" s="24"/>
      <c r="C173" s="24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</row>
    <row r="174" spans="1:42" ht="20.25" customHeight="1">
      <c r="A174" s="24"/>
      <c r="B174" s="24"/>
      <c r="C174" s="24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</row>
    <row r="175" spans="1:42" ht="20.25" customHeight="1">
      <c r="A175" s="24"/>
      <c r="B175" s="24"/>
      <c r="C175" s="24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</row>
    <row r="176" spans="1:42" ht="20.25" customHeight="1">
      <c r="A176" s="24"/>
      <c r="B176" s="24"/>
      <c r="C176" s="24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</row>
    <row r="177" spans="1:42" ht="20.25" customHeight="1">
      <c r="A177" s="24"/>
      <c r="B177" s="24"/>
      <c r="C177" s="24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</row>
    <row r="178" spans="1:42" ht="20.25" customHeight="1">
      <c r="A178" s="24"/>
      <c r="B178" s="24"/>
      <c r="C178" s="24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</row>
    <row r="179" spans="1:42" ht="20.25" customHeight="1">
      <c r="A179" s="24"/>
      <c r="B179" s="24"/>
      <c r="C179" s="24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</row>
    <row r="180" spans="1:42" ht="20.25" customHeight="1">
      <c r="A180" s="24"/>
      <c r="B180" s="24"/>
      <c r="C180" s="24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</row>
    <row r="181" spans="1:42" ht="20.25" customHeight="1">
      <c r="A181" s="24"/>
      <c r="B181" s="24"/>
      <c r="C181" s="24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</row>
    <row r="182" spans="1:42" ht="20.25" customHeight="1">
      <c r="A182" s="24"/>
      <c r="B182" s="24"/>
      <c r="C182" s="24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</row>
    <row r="183" spans="1:42" ht="20.25" customHeight="1">
      <c r="A183" s="24"/>
      <c r="B183" s="24"/>
      <c r="C183" s="24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</row>
    <row r="184" spans="1:42" ht="20.25" customHeight="1">
      <c r="A184" s="24"/>
      <c r="B184" s="24"/>
      <c r="C184" s="24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</row>
    <row r="185" spans="1:42" ht="20.25" customHeight="1">
      <c r="A185" s="24"/>
      <c r="B185" s="24"/>
      <c r="C185" s="24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</row>
    <row r="186" spans="1:42" ht="20.25" customHeight="1">
      <c r="A186" s="24"/>
      <c r="B186" s="24"/>
      <c r="C186" s="24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</row>
    <row r="187" spans="1:42" ht="20.25" customHeight="1">
      <c r="A187" s="24"/>
      <c r="B187" s="24"/>
      <c r="C187" s="24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</row>
    <row r="188" spans="1:42" ht="20.25" customHeight="1">
      <c r="A188" s="24"/>
      <c r="B188" s="24"/>
      <c r="C188" s="24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</row>
    <row r="189" spans="1:42" ht="20.25" customHeight="1">
      <c r="A189" s="24"/>
      <c r="B189" s="24"/>
      <c r="C189" s="24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</row>
    <row r="190" spans="1:42" ht="20.25" customHeight="1">
      <c r="A190" s="24"/>
      <c r="B190" s="24"/>
      <c r="C190" s="24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</row>
    <row r="191" spans="1:42" ht="20.25" customHeight="1">
      <c r="A191" s="24"/>
      <c r="B191" s="24"/>
      <c r="C191" s="24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</row>
    <row r="192" spans="1:42" ht="20.25" customHeight="1">
      <c r="A192" s="24"/>
      <c r="B192" s="24"/>
      <c r="C192" s="24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</row>
    <row r="193" spans="1:42" ht="20.25" customHeight="1">
      <c r="A193" s="24"/>
      <c r="B193" s="24"/>
      <c r="C193" s="24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</row>
    <row r="194" spans="1:42" ht="20.25" customHeight="1">
      <c r="A194" s="24"/>
      <c r="B194" s="24"/>
      <c r="C194" s="24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</row>
    <row r="195" spans="1:42" ht="20.25" customHeight="1">
      <c r="A195" s="24"/>
      <c r="B195" s="24"/>
      <c r="C195" s="24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</row>
    <row r="196" spans="1:42" ht="20.25" customHeight="1">
      <c r="A196" s="24"/>
      <c r="B196" s="24"/>
      <c r="C196" s="24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</row>
    <row r="197" spans="1:42" ht="20.25" customHeight="1">
      <c r="A197" s="24"/>
      <c r="B197" s="24"/>
      <c r="C197" s="24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</row>
    <row r="198" spans="1:42" ht="20.25" customHeight="1">
      <c r="A198" s="24"/>
      <c r="B198" s="24"/>
      <c r="C198" s="24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</row>
    <row r="199" spans="1:42" ht="20.25" customHeight="1">
      <c r="A199" s="24"/>
      <c r="B199" s="24"/>
      <c r="C199" s="24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</row>
    <row r="200" spans="1:42" ht="20.25" customHeight="1">
      <c r="A200" s="24"/>
      <c r="B200" s="24"/>
      <c r="C200" s="24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</row>
    <row r="201" spans="1:42" ht="20.25" customHeight="1">
      <c r="A201" s="24"/>
      <c r="B201" s="24"/>
      <c r="C201" s="24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</row>
    <row r="202" spans="1:42" ht="20.25" customHeight="1">
      <c r="A202" s="24"/>
      <c r="B202" s="24"/>
      <c r="C202" s="24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</row>
    <row r="203" spans="1:42" ht="20.25" customHeight="1">
      <c r="A203" s="24"/>
      <c r="B203" s="24"/>
      <c r="C203" s="24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</row>
    <row r="204" spans="1:42" ht="20.25" customHeight="1">
      <c r="A204" s="24"/>
      <c r="B204" s="24"/>
      <c r="C204" s="24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</row>
    <row r="205" spans="1:42" ht="20.25" customHeight="1">
      <c r="A205" s="24"/>
      <c r="B205" s="24"/>
      <c r="C205" s="24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</row>
    <row r="206" spans="1:42" ht="20.25" customHeight="1">
      <c r="A206" s="24"/>
      <c r="B206" s="24"/>
      <c r="C206" s="24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</row>
    <row r="207" spans="1:42" ht="20.25" customHeight="1">
      <c r="A207" s="24"/>
      <c r="B207" s="24"/>
      <c r="C207" s="24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</row>
    <row r="208" spans="1:42" ht="20.25" customHeight="1">
      <c r="A208" s="24"/>
      <c r="B208" s="24"/>
      <c r="C208" s="24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</row>
    <row r="209" spans="1:42" ht="20.25" customHeight="1">
      <c r="A209" s="24"/>
      <c r="B209" s="24"/>
      <c r="C209" s="24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</row>
    <row r="210" spans="1:42" ht="20.25" customHeight="1">
      <c r="A210" s="24"/>
      <c r="B210" s="24"/>
      <c r="C210" s="24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</row>
    <row r="211" spans="1:42" ht="20.25" customHeight="1">
      <c r="A211" s="24"/>
      <c r="B211" s="24"/>
      <c r="C211" s="24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</row>
    <row r="212" spans="1:42" ht="20.25" customHeight="1">
      <c r="A212" s="24"/>
      <c r="B212" s="24"/>
      <c r="C212" s="24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</row>
    <row r="213" spans="1:42" ht="20.25" customHeight="1">
      <c r="A213" s="24"/>
      <c r="B213" s="24"/>
      <c r="C213" s="24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</row>
    <row r="214" spans="1:42" ht="20.25" customHeight="1">
      <c r="A214" s="24"/>
      <c r="B214" s="24"/>
      <c r="C214" s="24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</row>
    <row r="215" spans="1:42" ht="20.25" customHeight="1">
      <c r="A215" s="24"/>
      <c r="B215" s="24"/>
      <c r="C215" s="24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</row>
    <row r="216" spans="1:42" ht="20.25" customHeight="1">
      <c r="A216" s="24"/>
      <c r="B216" s="24"/>
      <c r="C216" s="24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</row>
    <row r="217" spans="1:42" ht="20.25" customHeight="1">
      <c r="A217" s="24"/>
      <c r="B217" s="24"/>
      <c r="C217" s="24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</row>
    <row r="218" spans="1:42" ht="20.25" customHeight="1">
      <c r="A218" s="24"/>
      <c r="B218" s="24"/>
      <c r="C218" s="24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</row>
    <row r="219" spans="1:42" ht="20.25" customHeight="1">
      <c r="A219" s="24"/>
      <c r="B219" s="24"/>
      <c r="C219" s="24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</row>
    <row r="220" spans="1:42" ht="20.25" customHeight="1">
      <c r="A220" s="24"/>
      <c r="B220" s="24"/>
      <c r="C220" s="24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</row>
    <row r="221" spans="1:42" ht="20.25" customHeight="1">
      <c r="A221" s="24"/>
      <c r="B221" s="24"/>
      <c r="C221" s="24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</row>
    <row r="222" spans="1:42" ht="20.25" customHeight="1">
      <c r="A222" s="24"/>
      <c r="B222" s="24"/>
      <c r="C222" s="24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</row>
    <row r="223" spans="1:42" ht="20.25" customHeight="1">
      <c r="A223" s="24"/>
      <c r="B223" s="24"/>
      <c r="C223" s="24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</row>
    <row r="224" spans="1:42" ht="20.25" customHeight="1">
      <c r="A224" s="24"/>
      <c r="B224" s="24"/>
      <c r="C224" s="24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</row>
    <row r="225" spans="1:42" ht="20.25" customHeight="1">
      <c r="A225" s="24"/>
      <c r="B225" s="24"/>
      <c r="C225" s="24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</row>
    <row r="226" spans="1:42" ht="20.25" customHeight="1">
      <c r="A226" s="24"/>
      <c r="B226" s="24"/>
      <c r="C226" s="24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</row>
    <row r="227" spans="1:42" ht="20.25" customHeight="1">
      <c r="A227" s="24"/>
      <c r="B227" s="24"/>
      <c r="C227" s="24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</row>
    <row r="228" spans="1:42" ht="20.25" customHeight="1">
      <c r="A228" s="24"/>
      <c r="B228" s="24"/>
      <c r="C228" s="24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</row>
    <row r="229" spans="1:42" ht="20.25" customHeight="1">
      <c r="A229" s="24"/>
      <c r="B229" s="24"/>
      <c r="C229" s="24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</row>
    <row r="230" spans="1:42" ht="20.25" customHeight="1">
      <c r="A230" s="24"/>
      <c r="B230" s="24"/>
      <c r="C230" s="24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</row>
    <row r="231" spans="1:42" ht="20.25" customHeight="1">
      <c r="A231" s="24"/>
      <c r="B231" s="24"/>
      <c r="C231" s="24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</row>
    <row r="232" spans="1:42" ht="20.25" customHeight="1">
      <c r="A232" s="24"/>
      <c r="B232" s="24"/>
      <c r="C232" s="24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</row>
    <row r="233" spans="1:42" ht="20.25" customHeight="1">
      <c r="A233" s="24"/>
      <c r="B233" s="24"/>
      <c r="C233" s="24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</row>
    <row r="234" spans="1:42" ht="20.25" customHeight="1">
      <c r="A234" s="24"/>
      <c r="B234" s="24"/>
      <c r="C234" s="24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</row>
    <row r="235" spans="1:42" ht="20.25" customHeight="1">
      <c r="A235" s="24"/>
      <c r="B235" s="24"/>
      <c r="C235" s="24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</row>
    <row r="236" spans="1:42" ht="20.25" customHeight="1">
      <c r="A236" s="24"/>
      <c r="B236" s="24"/>
      <c r="C236" s="24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</row>
    <row r="237" spans="1:42" ht="20.25" customHeight="1">
      <c r="A237" s="24"/>
      <c r="B237" s="24"/>
      <c r="C237" s="24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</row>
    <row r="238" spans="1:42" ht="20.25" customHeight="1">
      <c r="A238" s="24"/>
      <c r="B238" s="24"/>
      <c r="C238" s="24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</row>
    <row r="239" spans="1:42" ht="20.25" customHeight="1">
      <c r="A239" s="24"/>
      <c r="B239" s="24"/>
      <c r="C239" s="24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</row>
    <row r="240" spans="1:42" ht="20.25" customHeight="1">
      <c r="A240" s="24"/>
      <c r="B240" s="24"/>
      <c r="C240" s="24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</row>
    <row r="241" spans="1:42" ht="20.25" customHeight="1">
      <c r="A241" s="24"/>
      <c r="B241" s="24"/>
      <c r="C241" s="24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</row>
    <row r="242" spans="1:42" ht="20.25" customHeight="1">
      <c r="A242" s="24"/>
      <c r="B242" s="24"/>
      <c r="C242" s="24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</row>
    <row r="243" spans="1:42" ht="20.25" customHeight="1">
      <c r="A243" s="24"/>
      <c r="B243" s="24"/>
      <c r="C243" s="24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</row>
    <row r="244" spans="1:42" ht="20.25" customHeight="1">
      <c r="A244" s="24"/>
      <c r="B244" s="24"/>
      <c r="C244" s="24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</row>
    <row r="245" spans="1:42" ht="20.25" customHeight="1">
      <c r="A245" s="24"/>
      <c r="B245" s="24"/>
      <c r="C245" s="24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</row>
    <row r="246" spans="1:42" ht="20.25" customHeight="1">
      <c r="A246" s="24"/>
      <c r="B246" s="24"/>
      <c r="C246" s="24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</row>
    <row r="247" spans="1:42" ht="20.25" customHeight="1">
      <c r="A247" s="24"/>
      <c r="B247" s="24"/>
      <c r="C247" s="24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</row>
    <row r="248" spans="1:42" ht="20.25" customHeight="1">
      <c r="A248" s="24"/>
      <c r="B248" s="24"/>
      <c r="C248" s="24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</row>
    <row r="249" spans="1:42" ht="20.25" customHeight="1">
      <c r="A249" s="24"/>
      <c r="B249" s="24"/>
      <c r="C249" s="24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</row>
    <row r="250" spans="1:42" ht="20.25" customHeight="1">
      <c r="A250" s="24"/>
      <c r="B250" s="24"/>
      <c r="C250" s="24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</row>
    <row r="251" spans="1:42" ht="20.25" customHeight="1">
      <c r="A251" s="24"/>
      <c r="B251" s="24"/>
      <c r="C251" s="24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</row>
    <row r="252" spans="1:42" ht="20.25" customHeight="1">
      <c r="A252" s="24"/>
      <c r="B252" s="24"/>
      <c r="C252" s="24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</row>
    <row r="253" spans="1:42" ht="20.25" customHeight="1">
      <c r="A253" s="24"/>
      <c r="B253" s="24"/>
      <c r="C253" s="24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</row>
    <row r="254" spans="1:42" ht="20.25" customHeight="1">
      <c r="A254" s="24"/>
      <c r="B254" s="24"/>
      <c r="C254" s="24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</row>
    <row r="255" spans="1:42" ht="20.25" customHeight="1">
      <c r="A255" s="24"/>
      <c r="B255" s="24"/>
      <c r="C255" s="24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</row>
    <row r="256" spans="1:42" ht="20.25" customHeight="1">
      <c r="A256" s="24"/>
      <c r="B256" s="24"/>
      <c r="C256" s="24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</row>
    <row r="257" spans="1:42" ht="20.25" customHeight="1">
      <c r="A257" s="24"/>
      <c r="B257" s="24"/>
      <c r="C257" s="24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</row>
    <row r="258" spans="1:42" ht="20.25" customHeight="1">
      <c r="A258" s="24"/>
      <c r="B258" s="24"/>
      <c r="C258" s="24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</row>
    <row r="259" spans="1:42" ht="20.25" customHeight="1">
      <c r="A259" s="24"/>
      <c r="B259" s="24"/>
      <c r="C259" s="24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</row>
    <row r="260" spans="1:42" ht="20.25" customHeight="1">
      <c r="A260" s="24"/>
      <c r="B260" s="24"/>
      <c r="C260" s="24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</row>
    <row r="261" spans="1:42" ht="20.25" customHeight="1">
      <c r="A261" s="24"/>
      <c r="B261" s="24"/>
      <c r="C261" s="24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</row>
    <row r="262" spans="1:42" ht="20.25" customHeight="1">
      <c r="A262" s="24"/>
      <c r="B262" s="24"/>
      <c r="C262" s="24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</row>
    <row r="263" spans="1:42" ht="20.25" customHeight="1">
      <c r="A263" s="24"/>
      <c r="B263" s="24"/>
      <c r="C263" s="24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</row>
    <row r="264" spans="1:42" ht="20.25" customHeight="1">
      <c r="A264" s="24"/>
      <c r="B264" s="24"/>
      <c r="C264" s="24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</row>
    <row r="265" spans="1:42" ht="20.25" customHeight="1">
      <c r="A265" s="24"/>
      <c r="B265" s="24"/>
      <c r="C265" s="24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</row>
    <row r="266" spans="1:42" ht="20.25" customHeight="1">
      <c r="A266" s="24"/>
      <c r="B266" s="24"/>
      <c r="C266" s="24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</row>
    <row r="267" spans="1:42" ht="20.25" customHeight="1">
      <c r="A267" s="24"/>
      <c r="B267" s="24"/>
      <c r="C267" s="24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</row>
    <row r="268" spans="1:42" ht="20.25" customHeight="1">
      <c r="A268" s="24"/>
      <c r="B268" s="24"/>
      <c r="C268" s="24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</row>
    <row r="269" spans="1:42" ht="20.25" customHeight="1">
      <c r="A269" s="24"/>
      <c r="B269" s="24"/>
      <c r="C269" s="24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</row>
    <row r="270" spans="1:42" ht="20.25" customHeight="1">
      <c r="A270" s="24"/>
      <c r="B270" s="24"/>
      <c r="C270" s="24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</row>
    <row r="271" spans="1:42" ht="20.25" customHeight="1">
      <c r="A271" s="24"/>
      <c r="B271" s="24"/>
      <c r="C271" s="24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</row>
    <row r="272" spans="1:42" ht="20.25" customHeight="1">
      <c r="A272" s="24"/>
      <c r="B272" s="24"/>
      <c r="C272" s="24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</row>
    <row r="273" spans="1:42" ht="20.25" customHeight="1">
      <c r="A273" s="24"/>
      <c r="B273" s="24"/>
      <c r="C273" s="24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</row>
    <row r="274" spans="1:42" ht="20.25" customHeight="1">
      <c r="A274" s="24"/>
      <c r="B274" s="24"/>
      <c r="C274" s="24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</row>
    <row r="275" spans="1:42" ht="20.25" customHeight="1">
      <c r="A275" s="24"/>
      <c r="B275" s="24"/>
      <c r="C275" s="24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</row>
    <row r="276" spans="1:42" ht="20.25" customHeight="1">
      <c r="A276" s="24"/>
      <c r="B276" s="24"/>
      <c r="C276" s="24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</row>
    <row r="277" spans="1:42" ht="20.25" customHeight="1">
      <c r="A277" s="24"/>
      <c r="B277" s="24"/>
      <c r="C277" s="24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</row>
    <row r="278" spans="1:42" ht="20.25" customHeight="1">
      <c r="A278" s="24"/>
      <c r="B278" s="24"/>
      <c r="C278" s="24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</row>
    <row r="279" spans="1:42" ht="20.25" customHeight="1">
      <c r="A279" s="24"/>
      <c r="B279" s="24"/>
      <c r="C279" s="24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</row>
    <row r="280" spans="1:42" ht="20.25" customHeight="1">
      <c r="A280" s="24"/>
      <c r="B280" s="24"/>
      <c r="C280" s="24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</row>
    <row r="281" spans="1:42" ht="20.25" customHeight="1">
      <c r="A281" s="24"/>
      <c r="B281" s="24"/>
      <c r="C281" s="24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</row>
    <row r="282" spans="1:42" ht="20.25" customHeight="1">
      <c r="A282" s="24"/>
      <c r="B282" s="24"/>
      <c r="C282" s="24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</row>
    <row r="283" spans="1:42" ht="20.25" customHeight="1">
      <c r="A283" s="24"/>
      <c r="B283" s="24"/>
      <c r="C283" s="24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</row>
    <row r="284" spans="1:42" ht="20.25" customHeight="1">
      <c r="A284" s="24"/>
      <c r="B284" s="24"/>
      <c r="C284" s="24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</row>
    <row r="285" spans="1:42" ht="20.25" customHeight="1">
      <c r="A285" s="24"/>
      <c r="B285" s="24"/>
      <c r="C285" s="24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</row>
    <row r="286" spans="1:42" ht="20.25" customHeight="1">
      <c r="A286" s="24"/>
      <c r="B286" s="24"/>
      <c r="C286" s="24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</row>
    <row r="287" spans="1:42" ht="20.25" customHeight="1">
      <c r="A287" s="24"/>
      <c r="B287" s="24"/>
      <c r="C287" s="24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</row>
    <row r="288" spans="1:42" ht="20.25" customHeight="1">
      <c r="A288" s="24"/>
      <c r="B288" s="24"/>
      <c r="C288" s="24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</row>
    <row r="289" spans="1:42" ht="20.25" customHeight="1">
      <c r="A289" s="24"/>
      <c r="B289" s="24"/>
      <c r="C289" s="24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</row>
    <row r="290" spans="1:42" ht="20.25" customHeight="1">
      <c r="A290" s="24"/>
      <c r="B290" s="24"/>
      <c r="C290" s="24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</row>
    <row r="291" spans="1:42" ht="20.25" customHeight="1">
      <c r="A291" s="24"/>
      <c r="B291" s="24"/>
      <c r="C291" s="24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</row>
    <row r="292" spans="1:42" ht="20.25" customHeight="1">
      <c r="A292" s="24"/>
      <c r="B292" s="24"/>
      <c r="C292" s="24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</row>
    <row r="293" spans="1:42" ht="20.25" customHeight="1">
      <c r="A293" s="24"/>
      <c r="B293" s="24"/>
      <c r="C293" s="24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</row>
    <row r="294" spans="1:42" ht="20.25" customHeight="1">
      <c r="A294" s="24"/>
      <c r="B294" s="24"/>
      <c r="C294" s="24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</row>
    <row r="295" spans="1:42" ht="20.25" customHeight="1">
      <c r="A295" s="24"/>
      <c r="B295" s="24"/>
      <c r="C295" s="24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</row>
    <row r="296" spans="1:42" ht="20.25" customHeight="1">
      <c r="A296" s="24"/>
      <c r="B296" s="24"/>
      <c r="C296" s="24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</row>
    <row r="297" spans="1:42" ht="20.25" customHeight="1">
      <c r="A297" s="24"/>
      <c r="B297" s="24"/>
      <c r="C297" s="24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</row>
    <row r="298" spans="1:42" ht="20.25" customHeight="1">
      <c r="A298" s="24"/>
      <c r="B298" s="24"/>
      <c r="C298" s="24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</row>
    <row r="299" spans="1:42" ht="20.25" customHeight="1">
      <c r="A299" s="24"/>
      <c r="B299" s="24"/>
      <c r="C299" s="24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</row>
    <row r="300" spans="1:42" ht="20.25" customHeight="1">
      <c r="A300" s="24"/>
      <c r="B300" s="24"/>
      <c r="C300" s="24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</row>
  </sheetData>
  <autoFilter ref="A2:AP164" xr:uid="{CCD2D0BB-DC78-485D-95F1-B809DFDA8975}"/>
  <mergeCells count="7">
    <mergeCell ref="A1:A2"/>
    <mergeCell ref="C1:C2"/>
    <mergeCell ref="G1:R1"/>
    <mergeCell ref="S1:AD1"/>
    <mergeCell ref="AE1:AP1"/>
    <mergeCell ref="D1:F1"/>
    <mergeCell ref="B1:B2"/>
  </mergeCells>
  <phoneticPr fontId="4"/>
  <dataValidations count="2">
    <dataValidation type="list" allowBlank="1" showInputMessage="1" showErrorMessage="1" sqref="A3:A300" xr:uid="{BAC1B11C-15FF-48C2-8EC5-26320B56CEC4}">
      <formula1>"购房,还款,装修,收入,支出"</formula1>
    </dataValidation>
    <dataValidation type="list" allowBlank="1" showInputMessage="1" showErrorMessage="1" sqref="D3:AP300" xr:uid="{F37D70E0-1810-408A-922C-0E2B4AE57A76}">
      <formula1>",●"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3378-8C8A-4EDC-863B-0B9E88EB8412}">
  <dimension ref="A2:A4"/>
  <sheetViews>
    <sheetView zoomScale="205" zoomScaleNormal="205" workbookViewId="0">
      <selection activeCell="A5" sqref="A5"/>
    </sheetView>
  </sheetViews>
  <sheetFormatPr defaultRowHeight="14"/>
  <sheetData>
    <row r="2" spans="1:1">
      <c r="A2" t="s">
        <v>201</v>
      </c>
    </row>
    <row r="4" spans="1:1">
      <c r="A4" t="s">
        <v>202</v>
      </c>
    </row>
  </sheetData>
  <phoneticPr fontId="2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7E86-8AAD-424F-9E51-BA1E3BA5983F}">
  <dimension ref="A1:E8"/>
  <sheetViews>
    <sheetView workbookViewId="0">
      <selection activeCell="D29" sqref="D29"/>
    </sheetView>
  </sheetViews>
  <sheetFormatPr defaultRowHeight="14"/>
  <cols>
    <col min="1" max="1" width="19.58203125" customWidth="1"/>
    <col min="2" max="2" width="21.25" customWidth="1"/>
    <col min="3" max="3" width="14.83203125" customWidth="1"/>
    <col min="4" max="4" width="19" customWidth="1"/>
    <col min="5" max="5" width="14.83203125" customWidth="1"/>
  </cols>
  <sheetData>
    <row r="1" spans="1:5" ht="16.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</row>
    <row r="2" spans="1:5" ht="16.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6.5">
      <c r="A3" s="4" t="s">
        <v>10</v>
      </c>
      <c r="B3" s="4" t="s">
        <v>11</v>
      </c>
      <c r="C3" s="4" t="s">
        <v>12</v>
      </c>
      <c r="D3" s="4">
        <v>744000</v>
      </c>
      <c r="E3" s="4" t="s">
        <v>13</v>
      </c>
    </row>
    <row r="4" spans="1:5" ht="16.5">
      <c r="A4" s="4" t="s">
        <v>14</v>
      </c>
      <c r="B4" s="4" t="s">
        <v>15</v>
      </c>
      <c r="C4" s="4" t="s">
        <v>16</v>
      </c>
      <c r="D4" s="4">
        <v>24800</v>
      </c>
      <c r="E4" s="4" t="s">
        <v>13</v>
      </c>
    </row>
    <row r="5" spans="1:5" ht="16.5">
      <c r="A5" s="4" t="s">
        <v>17</v>
      </c>
      <c r="B5" s="4" t="s">
        <v>18</v>
      </c>
      <c r="C5" s="4" t="s">
        <v>19</v>
      </c>
      <c r="D5" s="4">
        <v>17800</v>
      </c>
      <c r="E5" s="4" t="s">
        <v>13</v>
      </c>
    </row>
    <row r="6" spans="1:5" ht="16.5">
      <c r="A6" s="4" t="s">
        <v>17</v>
      </c>
      <c r="B6" s="4" t="s">
        <v>20</v>
      </c>
      <c r="C6" s="4" t="s">
        <v>21</v>
      </c>
      <c r="D6" s="4">
        <v>2670</v>
      </c>
      <c r="E6" s="4" t="s">
        <v>22</v>
      </c>
    </row>
    <row r="7" spans="1:5" ht="16.5">
      <c r="A7" s="4" t="s">
        <v>17</v>
      </c>
      <c r="B7" s="4" t="s">
        <v>23</v>
      </c>
      <c r="C7" s="4" t="s">
        <v>7</v>
      </c>
      <c r="D7" s="4" t="s">
        <v>24</v>
      </c>
      <c r="E7" s="4" t="s">
        <v>22</v>
      </c>
    </row>
    <row r="8" spans="1:5" ht="16.5">
      <c r="A8" s="5" t="s">
        <v>25</v>
      </c>
      <c r="B8" s="4"/>
      <c r="C8" s="4"/>
      <c r="D8" s="5" t="s">
        <v>26</v>
      </c>
      <c r="E8" s="4"/>
    </row>
  </sheetData>
  <phoneticPr fontId="4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617E-B259-4600-9AC7-18E5BC18B8FA}">
  <dimension ref="A1:I9"/>
  <sheetViews>
    <sheetView workbookViewId="0">
      <selection activeCell="C12" sqref="C12"/>
    </sheetView>
  </sheetViews>
  <sheetFormatPr defaultRowHeight="14"/>
  <cols>
    <col min="2" max="6" width="24.5" customWidth="1"/>
    <col min="7" max="7" width="33.33203125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 ht="16.5">
      <c r="A2" s="1"/>
      <c r="B2" s="21" t="s">
        <v>138</v>
      </c>
      <c r="C2" s="21" t="s">
        <v>137</v>
      </c>
      <c r="D2" s="22" t="s">
        <v>28</v>
      </c>
      <c r="E2" s="22" t="s">
        <v>29</v>
      </c>
      <c r="F2" s="22" t="s">
        <v>30</v>
      </c>
      <c r="G2" s="22" t="s">
        <v>31</v>
      </c>
      <c r="H2" s="1"/>
      <c r="I2" s="1"/>
    </row>
    <row r="3" spans="1:9">
      <c r="A3" s="1"/>
      <c r="B3" s="20" t="s">
        <v>139</v>
      </c>
      <c r="C3" s="20" t="s">
        <v>32</v>
      </c>
      <c r="D3" s="20" t="s">
        <v>33</v>
      </c>
      <c r="E3" s="20" t="s">
        <v>34</v>
      </c>
      <c r="F3" s="20" t="s">
        <v>35</v>
      </c>
      <c r="G3" s="20" t="s">
        <v>36</v>
      </c>
      <c r="H3" s="1"/>
      <c r="I3" s="1"/>
    </row>
    <row r="4" spans="1:9">
      <c r="A4" s="1"/>
      <c r="B4" s="20" t="s">
        <v>140</v>
      </c>
      <c r="C4" s="20" t="s">
        <v>37</v>
      </c>
      <c r="D4" s="20" t="s">
        <v>38</v>
      </c>
      <c r="E4" s="20" t="s">
        <v>39</v>
      </c>
      <c r="F4" s="20" t="s">
        <v>40</v>
      </c>
      <c r="G4" s="20" t="s">
        <v>41</v>
      </c>
      <c r="H4" s="1"/>
      <c r="I4" s="1"/>
    </row>
    <row r="5" spans="1:9">
      <c r="A5" s="1"/>
      <c r="B5" s="20" t="s">
        <v>141</v>
      </c>
      <c r="C5" s="20" t="s">
        <v>42</v>
      </c>
      <c r="D5" s="20" t="s">
        <v>43</v>
      </c>
      <c r="E5" s="20" t="s">
        <v>44</v>
      </c>
      <c r="F5" s="20" t="s">
        <v>45</v>
      </c>
      <c r="G5" s="20" t="s">
        <v>46</v>
      </c>
      <c r="H5" s="1"/>
      <c r="I5" s="1"/>
    </row>
    <row r="6" spans="1:9">
      <c r="A6" s="1"/>
      <c r="B6" s="20" t="s">
        <v>142</v>
      </c>
      <c r="C6" s="20" t="s">
        <v>47</v>
      </c>
      <c r="D6" s="20" t="s">
        <v>43</v>
      </c>
      <c r="E6" s="20" t="s">
        <v>44</v>
      </c>
      <c r="F6" s="20" t="s">
        <v>48</v>
      </c>
      <c r="G6" s="20" t="s">
        <v>49</v>
      </c>
      <c r="H6" s="1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  <row r="8" spans="1:9">
      <c r="A8" s="1"/>
      <c r="B8" s="1"/>
      <c r="C8" s="1"/>
      <c r="D8" s="1"/>
      <c r="E8" s="1"/>
      <c r="F8" s="1"/>
      <c r="G8" s="1"/>
      <c r="H8" s="1"/>
      <c r="I8" s="1"/>
    </row>
    <row r="9" spans="1:9">
      <c r="A9" s="1"/>
      <c r="B9" s="1"/>
      <c r="C9" s="1"/>
      <c r="D9" s="1"/>
      <c r="E9" s="1"/>
      <c r="F9" s="1"/>
      <c r="G9" s="1"/>
      <c r="H9" s="1"/>
      <c r="I9" s="1"/>
    </row>
  </sheetData>
  <phoneticPr fontId="4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4F4F-994C-45CE-8021-3A4B8813321F}">
  <dimension ref="A1:T16"/>
  <sheetViews>
    <sheetView workbookViewId="0">
      <selection activeCell="C8" sqref="C8"/>
    </sheetView>
  </sheetViews>
  <sheetFormatPr defaultRowHeight="14"/>
  <cols>
    <col min="1" max="1" width="8" customWidth="1"/>
    <col min="2" max="2" width="15.58203125" customWidth="1"/>
    <col min="3" max="8" width="21.83203125" customWidth="1"/>
    <col min="10" max="10" width="10.25" customWidth="1"/>
    <col min="11" max="11" width="11.25" bestFit="1" customWidth="1"/>
    <col min="12" max="12" width="10.25" customWidth="1"/>
    <col min="13" max="13" width="16.83203125" customWidth="1"/>
    <col min="14" max="14" width="12.08203125" customWidth="1"/>
    <col min="15" max="15" width="14" customWidth="1"/>
    <col min="16" max="16" width="24.75" bestFit="1" customWidth="1"/>
  </cols>
  <sheetData>
    <row r="1" spans="1:20" ht="16.5">
      <c r="A1" t="s">
        <v>85</v>
      </c>
      <c r="B1" t="s">
        <v>50</v>
      </c>
      <c r="C1" t="s">
        <v>27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51</v>
      </c>
      <c r="J1" t="s">
        <v>91</v>
      </c>
      <c r="K1" t="s">
        <v>92</v>
      </c>
      <c r="L1" t="s">
        <v>52</v>
      </c>
      <c r="M1" t="s">
        <v>93</v>
      </c>
      <c r="N1" s="7" t="s">
        <v>127</v>
      </c>
      <c r="O1" s="8" t="s">
        <v>128</v>
      </c>
      <c r="P1" t="s">
        <v>53</v>
      </c>
      <c r="S1" t="s">
        <v>61</v>
      </c>
      <c r="T1" t="s">
        <v>62</v>
      </c>
    </row>
    <row r="2" spans="1:20">
      <c r="A2" s="16">
        <v>1</v>
      </c>
      <c r="B2" s="16" t="s">
        <v>136</v>
      </c>
      <c r="C2" s="17" t="s">
        <v>95</v>
      </c>
      <c r="D2" s="17" t="s">
        <v>8</v>
      </c>
      <c r="E2" s="16" t="s">
        <v>96</v>
      </c>
      <c r="F2" s="16" t="s">
        <v>97</v>
      </c>
      <c r="G2" s="16" t="s">
        <v>126</v>
      </c>
      <c r="H2" s="16" t="s">
        <v>8</v>
      </c>
      <c r="I2" s="17" t="s">
        <v>8</v>
      </c>
      <c r="J2" s="16" t="e">
        <f>$H2*$I2</f>
        <v>#VALUE!</v>
      </c>
      <c r="K2" s="16" t="s">
        <v>8</v>
      </c>
      <c r="L2" s="16" t="s">
        <v>8</v>
      </c>
      <c r="M2" s="16" t="s">
        <v>8</v>
      </c>
      <c r="N2" s="18">
        <v>46296</v>
      </c>
      <c r="O2" s="19">
        <v>46321</v>
      </c>
      <c r="P2" s="16" t="s">
        <v>98</v>
      </c>
    </row>
    <row r="3" spans="1:20">
      <c r="A3" s="16">
        <v>2</v>
      </c>
      <c r="B3" s="16" t="s">
        <v>94</v>
      </c>
      <c r="C3" s="17" t="s">
        <v>99</v>
      </c>
      <c r="D3" s="17" t="s">
        <v>8</v>
      </c>
      <c r="E3" s="16" t="s">
        <v>100</v>
      </c>
      <c r="F3" s="16" t="s">
        <v>97</v>
      </c>
      <c r="G3" s="16" t="s">
        <v>126</v>
      </c>
      <c r="H3" s="16" t="s">
        <v>8</v>
      </c>
      <c r="I3" s="17" t="s">
        <v>8</v>
      </c>
      <c r="J3" s="16" t="e">
        <f t="shared" ref="J3:J13" si="0">$H3*$I3</f>
        <v>#VALUE!</v>
      </c>
      <c r="K3" s="16" t="s">
        <v>8</v>
      </c>
      <c r="L3" s="16" t="s">
        <v>8</v>
      </c>
      <c r="M3" s="16" t="s">
        <v>8</v>
      </c>
      <c r="N3" s="18"/>
      <c r="O3" s="19"/>
      <c r="P3" s="16" t="s">
        <v>101</v>
      </c>
    </row>
    <row r="4" spans="1:20">
      <c r="A4" s="16">
        <v>3</v>
      </c>
      <c r="B4" s="16" t="s">
        <v>94</v>
      </c>
      <c r="C4" s="17" t="s">
        <v>102</v>
      </c>
      <c r="D4" s="17" t="s">
        <v>8</v>
      </c>
      <c r="E4" s="16" t="s">
        <v>103</v>
      </c>
      <c r="F4" s="16" t="s">
        <v>97</v>
      </c>
      <c r="G4" s="16" t="s">
        <v>126</v>
      </c>
      <c r="H4" s="16" t="s">
        <v>8</v>
      </c>
      <c r="I4" s="17" t="s">
        <v>8</v>
      </c>
      <c r="J4" s="16" t="e">
        <f t="shared" si="0"/>
        <v>#VALUE!</v>
      </c>
      <c r="K4" s="16" t="s">
        <v>8</v>
      </c>
      <c r="L4" s="16" t="s">
        <v>8</v>
      </c>
      <c r="M4" s="16" t="s">
        <v>8</v>
      </c>
      <c r="N4" s="18"/>
      <c r="O4" s="19"/>
      <c r="P4" s="16" t="s">
        <v>104</v>
      </c>
    </row>
    <row r="5" spans="1:20">
      <c r="A5" s="16">
        <v>4</v>
      </c>
      <c r="B5" s="16" t="s">
        <v>105</v>
      </c>
      <c r="C5" s="17" t="s">
        <v>106</v>
      </c>
      <c r="D5" s="17" t="s">
        <v>8</v>
      </c>
      <c r="E5" s="16" t="s">
        <v>8</v>
      </c>
      <c r="F5" s="16" t="s">
        <v>97</v>
      </c>
      <c r="G5" s="16" t="s">
        <v>107</v>
      </c>
      <c r="H5" s="16" t="s">
        <v>8</v>
      </c>
      <c r="I5" s="17" t="s">
        <v>8</v>
      </c>
      <c r="J5" s="16" t="e">
        <f t="shared" si="0"/>
        <v>#VALUE!</v>
      </c>
      <c r="K5" s="16" t="s">
        <v>8</v>
      </c>
      <c r="L5" s="16" t="s">
        <v>8</v>
      </c>
      <c r="M5" s="16" t="s">
        <v>8</v>
      </c>
      <c r="N5" s="18"/>
      <c r="O5" s="19"/>
      <c r="P5" s="16" t="s">
        <v>54</v>
      </c>
    </row>
    <row r="6" spans="1:20">
      <c r="A6" s="16">
        <v>5</v>
      </c>
      <c r="B6" s="16" t="s">
        <v>108</v>
      </c>
      <c r="C6" s="17" t="s">
        <v>109</v>
      </c>
      <c r="D6" s="17" t="s">
        <v>8</v>
      </c>
      <c r="E6" s="16" t="s">
        <v>8</v>
      </c>
      <c r="F6" s="16" t="s">
        <v>126</v>
      </c>
      <c r="G6" s="16" t="s">
        <v>110</v>
      </c>
      <c r="H6" s="16" t="s">
        <v>8</v>
      </c>
      <c r="I6" s="17" t="s">
        <v>8</v>
      </c>
      <c r="J6" s="16" t="e">
        <f t="shared" si="0"/>
        <v>#VALUE!</v>
      </c>
      <c r="K6" s="16" t="s">
        <v>8</v>
      </c>
      <c r="L6" s="16" t="s">
        <v>8</v>
      </c>
      <c r="M6" s="16" t="s">
        <v>8</v>
      </c>
      <c r="N6" s="18"/>
      <c r="O6" s="19"/>
      <c r="P6" s="16" t="s">
        <v>55</v>
      </c>
    </row>
    <row r="7" spans="1:20">
      <c r="A7" s="16">
        <v>6</v>
      </c>
      <c r="B7" s="16" t="s">
        <v>56</v>
      </c>
      <c r="C7" s="17" t="s">
        <v>111</v>
      </c>
      <c r="D7" s="17" t="s">
        <v>8</v>
      </c>
      <c r="E7" s="16" t="s">
        <v>112</v>
      </c>
      <c r="F7" s="16" t="s">
        <v>126</v>
      </c>
      <c r="G7" s="16" t="s">
        <v>110</v>
      </c>
      <c r="H7" s="16" t="s">
        <v>8</v>
      </c>
      <c r="I7" s="17" t="s">
        <v>8</v>
      </c>
      <c r="J7" s="16" t="e">
        <f t="shared" si="0"/>
        <v>#VALUE!</v>
      </c>
      <c r="K7" s="16" t="s">
        <v>8</v>
      </c>
      <c r="L7" s="16" t="s">
        <v>8</v>
      </c>
      <c r="M7" s="16" t="s">
        <v>8</v>
      </c>
      <c r="N7" s="18"/>
      <c r="O7" s="19"/>
      <c r="P7" s="16" t="s">
        <v>57</v>
      </c>
    </row>
    <row r="8" spans="1:20">
      <c r="A8" s="16">
        <v>7</v>
      </c>
      <c r="B8" s="16" t="s">
        <v>113</v>
      </c>
      <c r="C8" s="17" t="s">
        <v>114</v>
      </c>
      <c r="D8" s="17" t="s">
        <v>8</v>
      </c>
      <c r="E8" s="16" t="s">
        <v>115</v>
      </c>
      <c r="F8" s="16" t="s">
        <v>126</v>
      </c>
      <c r="G8" s="16" t="s">
        <v>126</v>
      </c>
      <c r="H8" s="16" t="s">
        <v>8</v>
      </c>
      <c r="I8" s="17" t="s">
        <v>8</v>
      </c>
      <c r="J8" s="16" t="e">
        <f t="shared" si="0"/>
        <v>#VALUE!</v>
      </c>
      <c r="K8" s="16" t="s">
        <v>8</v>
      </c>
      <c r="L8" s="16" t="s">
        <v>8</v>
      </c>
      <c r="M8" s="16" t="s">
        <v>8</v>
      </c>
      <c r="N8" s="18"/>
      <c r="O8" s="19"/>
      <c r="P8" s="16" t="s">
        <v>116</v>
      </c>
    </row>
    <row r="9" spans="1:20">
      <c r="A9" s="16">
        <v>8</v>
      </c>
      <c r="B9" s="16" t="s">
        <v>113</v>
      </c>
      <c r="C9" s="17" t="s">
        <v>117</v>
      </c>
      <c r="D9" s="17" t="s">
        <v>8</v>
      </c>
      <c r="E9" s="16" t="s">
        <v>126</v>
      </c>
      <c r="F9" s="16" t="s">
        <v>126</v>
      </c>
      <c r="G9" s="16" t="s">
        <v>126</v>
      </c>
      <c r="H9" s="16" t="s">
        <v>8</v>
      </c>
      <c r="I9" s="17" t="s">
        <v>8</v>
      </c>
      <c r="J9" s="16" t="e">
        <f t="shared" si="0"/>
        <v>#VALUE!</v>
      </c>
      <c r="K9" s="16" t="s">
        <v>8</v>
      </c>
      <c r="L9" s="16" t="s">
        <v>8</v>
      </c>
      <c r="M9" s="16" t="s">
        <v>8</v>
      </c>
      <c r="N9" s="18"/>
      <c r="O9" s="19"/>
      <c r="P9" s="16"/>
    </row>
    <row r="10" spans="1:20">
      <c r="A10" s="16">
        <v>9</v>
      </c>
      <c r="B10" s="16" t="s">
        <v>113</v>
      </c>
      <c r="C10" s="17" t="s">
        <v>118</v>
      </c>
      <c r="D10" s="17" t="s">
        <v>8</v>
      </c>
      <c r="E10" s="16" t="s">
        <v>8</v>
      </c>
      <c r="F10" s="16" t="s">
        <v>126</v>
      </c>
      <c r="G10" s="16" t="s">
        <v>110</v>
      </c>
      <c r="H10" s="16" t="s">
        <v>8</v>
      </c>
      <c r="I10" s="17" t="s">
        <v>8</v>
      </c>
      <c r="J10" s="16" t="e">
        <f t="shared" si="0"/>
        <v>#VALUE!</v>
      </c>
      <c r="K10" s="16" t="s">
        <v>8</v>
      </c>
      <c r="L10" s="16" t="s">
        <v>8</v>
      </c>
      <c r="M10" s="16" t="s">
        <v>8</v>
      </c>
      <c r="N10" s="18"/>
      <c r="O10" s="19"/>
      <c r="P10" s="16"/>
    </row>
    <row r="11" spans="1:20">
      <c r="A11" s="16">
        <v>10</v>
      </c>
      <c r="B11" s="17" t="s">
        <v>119</v>
      </c>
      <c r="C11" s="17" t="s">
        <v>58</v>
      </c>
      <c r="D11" s="17" t="s">
        <v>8</v>
      </c>
      <c r="E11" s="17" t="s">
        <v>126</v>
      </c>
      <c r="F11" s="17" t="s">
        <v>126</v>
      </c>
      <c r="G11" s="17" t="s">
        <v>126</v>
      </c>
      <c r="H11" s="16" t="s">
        <v>8</v>
      </c>
      <c r="I11" s="17" t="s">
        <v>8</v>
      </c>
      <c r="J11" s="16" t="e">
        <f t="shared" si="0"/>
        <v>#VALUE!</v>
      </c>
      <c r="K11" s="16" t="s">
        <v>8</v>
      </c>
      <c r="L11" s="16" t="s">
        <v>59</v>
      </c>
      <c r="M11" s="16" t="s">
        <v>8</v>
      </c>
      <c r="N11" s="18"/>
      <c r="O11" s="19"/>
      <c r="P11" s="16" t="s">
        <v>120</v>
      </c>
    </row>
    <row r="12" spans="1:20">
      <c r="A12" s="16">
        <v>11</v>
      </c>
      <c r="B12" s="16" t="s">
        <v>60</v>
      </c>
      <c r="C12" s="16" t="s">
        <v>121</v>
      </c>
      <c r="D12" s="16" t="s">
        <v>8</v>
      </c>
      <c r="E12" s="16" t="s">
        <v>126</v>
      </c>
      <c r="F12" s="16" t="s">
        <v>126</v>
      </c>
      <c r="G12" s="16" t="s">
        <v>126</v>
      </c>
      <c r="H12" s="16" t="s">
        <v>8</v>
      </c>
      <c r="I12" s="17" t="s">
        <v>8</v>
      </c>
      <c r="J12" s="16" t="e">
        <f t="shared" si="0"/>
        <v>#VALUE!</v>
      </c>
      <c r="K12" s="16" t="s">
        <v>8</v>
      </c>
      <c r="L12" s="16" t="s">
        <v>8</v>
      </c>
      <c r="M12" s="16" t="s">
        <v>8</v>
      </c>
      <c r="N12" s="18"/>
      <c r="O12" s="19"/>
      <c r="P12" s="16" t="s">
        <v>122</v>
      </c>
    </row>
    <row r="13" spans="1:20">
      <c r="A13" s="16">
        <v>12</v>
      </c>
      <c r="B13" s="16" t="s">
        <v>123</v>
      </c>
      <c r="C13" s="16" t="s">
        <v>124</v>
      </c>
      <c r="D13" s="16" t="s">
        <v>8</v>
      </c>
      <c r="E13" s="16" t="s">
        <v>126</v>
      </c>
      <c r="F13" s="16" t="s">
        <v>126</v>
      </c>
      <c r="G13" s="16" t="s">
        <v>126</v>
      </c>
      <c r="H13" s="16" t="s">
        <v>8</v>
      </c>
      <c r="I13" s="16" t="s">
        <v>8</v>
      </c>
      <c r="J13" s="16" t="e">
        <f t="shared" si="0"/>
        <v>#VALUE!</v>
      </c>
      <c r="K13" s="16" t="s">
        <v>8</v>
      </c>
      <c r="L13" s="16" t="s">
        <v>8</v>
      </c>
      <c r="M13" s="16" t="s">
        <v>8</v>
      </c>
      <c r="N13" s="18"/>
      <c r="O13" s="19"/>
      <c r="P13" s="16" t="s">
        <v>125</v>
      </c>
    </row>
    <row r="16" spans="1:20">
      <c r="A16" s="6"/>
    </row>
  </sheetData>
  <phoneticPr fontId="4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B800-E26E-499C-B2F7-7DC4EE07C1AC}">
  <dimension ref="B2:M18"/>
  <sheetViews>
    <sheetView zoomScale="70" zoomScaleNormal="70" workbookViewId="0">
      <selection activeCell="I6" sqref="I6"/>
    </sheetView>
  </sheetViews>
  <sheetFormatPr defaultRowHeight="14"/>
  <cols>
    <col min="2" max="2" width="13.33203125" bestFit="1" customWidth="1"/>
    <col min="3" max="3" width="13.33203125" customWidth="1"/>
    <col min="4" max="4" width="19.83203125" customWidth="1"/>
    <col min="5" max="5" width="14" customWidth="1"/>
    <col min="6" max="9" width="12.08203125" customWidth="1"/>
    <col min="10" max="11" width="19.08203125" customWidth="1"/>
    <col min="12" max="12" width="12.08203125" customWidth="1"/>
    <col min="13" max="13" width="15.5" bestFit="1" customWidth="1"/>
  </cols>
  <sheetData>
    <row r="2" spans="2:13" ht="18.5">
      <c r="B2" s="2" t="s">
        <v>63</v>
      </c>
      <c r="C2" s="14" t="s">
        <v>134</v>
      </c>
      <c r="D2" s="2" t="s">
        <v>64</v>
      </c>
      <c r="E2" s="2" t="s">
        <v>65</v>
      </c>
      <c r="F2" s="2" t="s">
        <v>66</v>
      </c>
      <c r="G2" s="10" t="s">
        <v>129</v>
      </c>
      <c r="H2" s="10" t="s">
        <v>130</v>
      </c>
      <c r="I2" s="10" t="s">
        <v>131</v>
      </c>
      <c r="J2" s="11" t="s">
        <v>133</v>
      </c>
      <c r="K2" s="12" t="s">
        <v>132</v>
      </c>
      <c r="L2" s="2" t="s">
        <v>67</v>
      </c>
      <c r="M2" s="2" t="s">
        <v>53</v>
      </c>
    </row>
    <row r="3" spans="2:13" ht="18.5">
      <c r="B3" s="9">
        <v>46296</v>
      </c>
      <c r="C3" s="4" t="s">
        <v>8</v>
      </c>
      <c r="D3" s="4">
        <f>15000+7880</f>
        <v>22880</v>
      </c>
      <c r="E3" s="4">
        <f>3318</f>
        <v>3318</v>
      </c>
      <c r="F3" s="4">
        <v>0</v>
      </c>
      <c r="G3" s="4">
        <v>2000</v>
      </c>
      <c r="H3" s="4">
        <v>2000</v>
      </c>
      <c r="I3" s="4" t="s">
        <v>8</v>
      </c>
      <c r="J3" s="13">
        <v>380000</v>
      </c>
      <c r="K3" s="4">
        <v>0</v>
      </c>
      <c r="L3" s="4" t="e">
        <f>テーブル1[[#This Row],[现有资金]]+テーブル1[[#This Row],[工资进账（税后）]]+テーブル1[[#This Row],[公积金到账]]-テーブル1[[#This Row],[房贷月供]]-テーブル1[[#This Row],[车贷]]-テーブル1[[#This Row],[房租]]-テーブル1[[#This Row],[生活开支]]-テーブル1[[#This Row],[购房支出]]-テーブル1[[#This Row],[装修支出]]</f>
        <v>#VALUE!</v>
      </c>
      <c r="M3" s="15" t="s">
        <v>135</v>
      </c>
    </row>
    <row r="4" spans="2:13" ht="16.5">
      <c r="B4" s="9">
        <v>46327</v>
      </c>
      <c r="C4" s="4" t="s">
        <v>8</v>
      </c>
      <c r="D4" s="4">
        <f t="shared" ref="D4:D18" si="0">15000+7880</f>
        <v>22880</v>
      </c>
      <c r="E4" s="4">
        <f>3318</f>
        <v>3318</v>
      </c>
      <c r="F4" s="4">
        <v>0</v>
      </c>
      <c r="G4" s="4">
        <v>2000</v>
      </c>
      <c r="H4" s="4">
        <v>2000</v>
      </c>
      <c r="I4" s="4" t="s">
        <v>8</v>
      </c>
      <c r="J4" s="4"/>
      <c r="K4" s="4"/>
      <c r="L4" s="4" t="e">
        <f>テーブル1[[#This Row],[现有资金]]+テーブル1[[#This Row],[工资进账（税后）]]+テーブル1[[#This Row],[公积金到账]]-テーブル1[[#This Row],[房贷月供]]-テーブル1[[#This Row],[车贷]]-テーブル1[[#This Row],[房租]]-テーブル1[[#This Row],[生活开支]]-テーブル1[[#This Row],[购房支出]]-テーブル1[[#This Row],[装修支出]]</f>
        <v>#VALUE!</v>
      </c>
      <c r="M4" s="4"/>
    </row>
    <row r="5" spans="2:13" ht="16.5">
      <c r="B5" s="9">
        <v>46357</v>
      </c>
      <c r="C5" s="4" t="s">
        <v>8</v>
      </c>
      <c r="D5" s="4">
        <f t="shared" si="0"/>
        <v>22880</v>
      </c>
      <c r="E5" s="4">
        <f>3318</f>
        <v>3318</v>
      </c>
      <c r="F5" s="4">
        <v>0</v>
      </c>
      <c r="G5" s="4">
        <v>2000</v>
      </c>
      <c r="H5" s="4">
        <v>2000</v>
      </c>
      <c r="I5" s="4" t="s">
        <v>8</v>
      </c>
      <c r="J5" s="4"/>
      <c r="K5" s="4"/>
      <c r="L5" s="4" t="e">
        <f>テーブル1[[#This Row],[现有资金]]+テーブル1[[#This Row],[工资进账（税后）]]+テーブル1[[#This Row],[公积金到账]]-テーブル1[[#This Row],[房贷月供]]-テーブル1[[#This Row],[车贷]]-テーブル1[[#This Row],[房租]]-テーブル1[[#This Row],[生活开支]]-テーブル1[[#This Row],[购房支出]]-テーブル1[[#This Row],[装修支出]]</f>
        <v>#VALUE!</v>
      </c>
      <c r="M5" s="4"/>
    </row>
    <row r="6" spans="2:13" ht="16.5">
      <c r="B6" s="9">
        <v>46388</v>
      </c>
      <c r="C6" s="4" t="s">
        <v>8</v>
      </c>
      <c r="D6" s="4">
        <f t="shared" si="0"/>
        <v>22880</v>
      </c>
      <c r="E6" s="4">
        <f>3318</f>
        <v>3318</v>
      </c>
      <c r="F6" s="4">
        <v>6951</v>
      </c>
      <c r="G6" s="4">
        <v>2000</v>
      </c>
      <c r="H6" s="4">
        <v>2000</v>
      </c>
      <c r="I6" s="4" t="s">
        <v>8</v>
      </c>
      <c r="J6" s="4"/>
      <c r="K6" s="4"/>
      <c r="L6" s="4" t="e">
        <f>テーブル1[[#This Row],[现有资金]]+テーブル1[[#This Row],[工资进账（税后）]]+テーブル1[[#This Row],[公积金到账]]-テーブル1[[#This Row],[房贷月供]]-テーブル1[[#This Row],[车贷]]-テーブル1[[#This Row],[房租]]-テーブル1[[#This Row],[生活开支]]-テーブル1[[#This Row],[购房支出]]-テーブル1[[#This Row],[装修支出]]</f>
        <v>#VALUE!</v>
      </c>
      <c r="M6" s="4"/>
    </row>
    <row r="7" spans="2:13" ht="16.5">
      <c r="B7" s="9">
        <v>46419</v>
      </c>
      <c r="C7" s="4" t="s">
        <v>8</v>
      </c>
      <c r="D7" s="4">
        <f t="shared" si="0"/>
        <v>22880</v>
      </c>
      <c r="E7" s="4">
        <f>3318</f>
        <v>3318</v>
      </c>
      <c r="F7" s="4">
        <v>6951</v>
      </c>
      <c r="G7" s="4">
        <v>2000</v>
      </c>
      <c r="H7" s="4">
        <v>2000</v>
      </c>
      <c r="I7" s="4" t="s">
        <v>8</v>
      </c>
      <c r="J7" s="4"/>
      <c r="K7" s="4"/>
      <c r="L7" s="4" t="e">
        <f>テーブル1[[#This Row],[现有资金]]+テーブル1[[#This Row],[工资进账（税后）]]+テーブル1[[#This Row],[公积金到账]]-テーブル1[[#This Row],[房贷月供]]-テーブル1[[#This Row],[车贷]]-テーブル1[[#This Row],[房租]]-テーブル1[[#This Row],[生活开支]]-テーブル1[[#This Row],[购房支出]]-テーブル1[[#This Row],[装修支出]]</f>
        <v>#VALUE!</v>
      </c>
      <c r="M7" s="4"/>
    </row>
    <row r="8" spans="2:13" ht="16.5">
      <c r="B8" s="9">
        <v>46447</v>
      </c>
      <c r="C8" s="4" t="s">
        <v>8</v>
      </c>
      <c r="D8" s="4">
        <f t="shared" si="0"/>
        <v>22880</v>
      </c>
      <c r="E8" s="4">
        <f>3318</f>
        <v>3318</v>
      </c>
      <c r="F8" s="4">
        <v>6951</v>
      </c>
      <c r="G8" s="4">
        <v>2000</v>
      </c>
      <c r="H8" s="4">
        <v>2000</v>
      </c>
      <c r="I8" s="4" t="s">
        <v>8</v>
      </c>
      <c r="J8" s="4"/>
      <c r="K8" s="4"/>
      <c r="L8" s="4" t="e">
        <f>テーブル1[[#This Row],[现有资金]]+テーブル1[[#This Row],[工资进账（税后）]]+テーブル1[[#This Row],[公积金到账]]-テーブル1[[#This Row],[房贷月供]]-テーブル1[[#This Row],[车贷]]-テーブル1[[#This Row],[房租]]-テーブル1[[#This Row],[生活开支]]-テーブル1[[#This Row],[购房支出]]-テーブル1[[#This Row],[装修支出]]</f>
        <v>#VALUE!</v>
      </c>
      <c r="M8" s="4"/>
    </row>
    <row r="9" spans="2:13" ht="16.5">
      <c r="B9" s="9">
        <v>46478</v>
      </c>
      <c r="C9" s="4" t="s">
        <v>8</v>
      </c>
      <c r="D9" s="4">
        <f t="shared" si="0"/>
        <v>22880</v>
      </c>
      <c r="E9" s="4">
        <f>3318</f>
        <v>3318</v>
      </c>
      <c r="F9" s="4">
        <v>6951</v>
      </c>
      <c r="G9" s="4">
        <v>2000</v>
      </c>
      <c r="H9" s="4">
        <v>3500</v>
      </c>
      <c r="I9" s="4" t="s">
        <v>8</v>
      </c>
      <c r="J9" s="4"/>
      <c r="K9" s="4"/>
      <c r="L9" s="4" t="e">
        <f>テーブル1[[#This Row],[现有资金]]+テーブル1[[#This Row],[工资进账（税后）]]+テーブル1[[#This Row],[公积金到账]]-テーブル1[[#This Row],[房贷月供]]-テーブル1[[#This Row],[车贷]]-テーブル1[[#This Row],[房租]]-テーブル1[[#This Row],[生活开支]]-テーブル1[[#This Row],[购房支出]]-テーブル1[[#This Row],[装修支出]]</f>
        <v>#VALUE!</v>
      </c>
      <c r="M9" s="4"/>
    </row>
    <row r="10" spans="2:13" ht="16.5">
      <c r="B10" s="9">
        <v>46508</v>
      </c>
      <c r="C10" s="4" t="s">
        <v>8</v>
      </c>
      <c r="D10" s="4">
        <f t="shared" si="0"/>
        <v>22880</v>
      </c>
      <c r="E10" s="4">
        <f>3318</f>
        <v>3318</v>
      </c>
      <c r="F10" s="4">
        <v>6951</v>
      </c>
      <c r="G10" s="4">
        <v>2000</v>
      </c>
      <c r="H10" s="4">
        <v>3500</v>
      </c>
      <c r="I10" s="4" t="s">
        <v>8</v>
      </c>
      <c r="J10" s="4"/>
      <c r="K10" s="4"/>
      <c r="L10" s="4" t="e">
        <f>テーブル1[[#This Row],[现有资金]]+テーブル1[[#This Row],[工资进账（税后）]]+テーブル1[[#This Row],[公积金到账]]-テーブル1[[#This Row],[房贷月供]]-テーブル1[[#This Row],[车贷]]-テーブル1[[#This Row],[房租]]-テーブル1[[#This Row],[生活开支]]-テーブル1[[#This Row],[购房支出]]-テーブル1[[#This Row],[装修支出]]</f>
        <v>#VALUE!</v>
      </c>
      <c r="M10" s="4"/>
    </row>
    <row r="11" spans="2:13" ht="16.5">
      <c r="B11" s="9">
        <v>46539</v>
      </c>
      <c r="C11" s="4" t="s">
        <v>8</v>
      </c>
      <c r="D11" s="4">
        <f t="shared" si="0"/>
        <v>22880</v>
      </c>
      <c r="E11" s="4">
        <f>3318</f>
        <v>3318</v>
      </c>
      <c r="F11" s="4">
        <v>6951</v>
      </c>
      <c r="G11" s="4">
        <v>2000</v>
      </c>
      <c r="H11" s="4">
        <v>3500</v>
      </c>
      <c r="I11" s="4" t="s">
        <v>8</v>
      </c>
      <c r="L11" s="4" t="e">
        <f>テーブル1[[#This Row],[现有资金]]+テーブル1[[#This Row],[工资进账（税后）]]+テーブル1[[#This Row],[公积金到账]]-テーブル1[[#This Row],[房贷月供]]-テーブル1[[#This Row],[车贷]]-テーブル1[[#This Row],[房租]]-テーブル1[[#This Row],[生活开支]]-テーブル1[[#This Row],[购房支出]]-テーブル1[[#This Row],[装修支出]]</f>
        <v>#VALUE!</v>
      </c>
    </row>
    <row r="12" spans="2:13" ht="16.5">
      <c r="B12" s="9">
        <v>46569</v>
      </c>
      <c r="C12" s="4" t="s">
        <v>8</v>
      </c>
      <c r="D12" s="4">
        <f t="shared" si="0"/>
        <v>22880</v>
      </c>
      <c r="E12" s="4">
        <f>3318</f>
        <v>3318</v>
      </c>
      <c r="F12" s="4">
        <v>6951</v>
      </c>
      <c r="G12" s="4">
        <v>2000</v>
      </c>
      <c r="H12" s="4">
        <v>3500</v>
      </c>
      <c r="I12" s="4" t="s">
        <v>8</v>
      </c>
      <c r="L12" s="4" t="e">
        <f>テーブル1[[#This Row],[现有资金]]+テーブル1[[#This Row],[工资进账（税后）]]+テーブル1[[#This Row],[公积金到账]]-テーブル1[[#This Row],[房贷月供]]-テーブル1[[#This Row],[车贷]]-テーブル1[[#This Row],[房租]]-テーブル1[[#This Row],[生活开支]]-テーブル1[[#This Row],[购房支出]]-テーブル1[[#This Row],[装修支出]]</f>
        <v>#VALUE!</v>
      </c>
    </row>
    <row r="13" spans="2:13" ht="16.5">
      <c r="B13" s="9">
        <v>46600</v>
      </c>
      <c r="C13" s="4" t="s">
        <v>8</v>
      </c>
      <c r="D13" s="4">
        <f t="shared" si="0"/>
        <v>22880</v>
      </c>
      <c r="E13" s="4">
        <f>3318</f>
        <v>3318</v>
      </c>
      <c r="F13" s="4">
        <v>6951</v>
      </c>
      <c r="G13" s="4">
        <v>2000</v>
      </c>
      <c r="H13" s="4">
        <v>3500</v>
      </c>
      <c r="I13" s="4" t="s">
        <v>8</v>
      </c>
      <c r="L13" s="4" t="e">
        <f>テーブル1[[#This Row],[现有资金]]+テーブル1[[#This Row],[工资进账（税后）]]+テーブル1[[#This Row],[公积金到账]]-テーブル1[[#This Row],[房贷月供]]-テーブル1[[#This Row],[车贷]]-テーブル1[[#This Row],[房租]]-テーブル1[[#This Row],[生活开支]]-テーブル1[[#This Row],[购房支出]]-テーブル1[[#This Row],[装修支出]]</f>
        <v>#VALUE!</v>
      </c>
    </row>
    <row r="14" spans="2:13" ht="16.5">
      <c r="B14" s="9">
        <v>46631</v>
      </c>
      <c r="C14" s="4" t="s">
        <v>8</v>
      </c>
      <c r="D14" s="4">
        <f t="shared" si="0"/>
        <v>22880</v>
      </c>
      <c r="E14" s="4">
        <f>3318</f>
        <v>3318</v>
      </c>
      <c r="F14" s="4">
        <v>6951</v>
      </c>
      <c r="G14" s="4">
        <v>2000</v>
      </c>
      <c r="H14" s="4">
        <v>3500</v>
      </c>
      <c r="I14" s="4" t="s">
        <v>8</v>
      </c>
      <c r="L14" s="4" t="e">
        <f>テーブル1[[#This Row],[现有资金]]+テーブル1[[#This Row],[工资进账（税后）]]+テーブル1[[#This Row],[公积金到账]]-テーブル1[[#This Row],[房贷月供]]-テーブル1[[#This Row],[车贷]]-テーブル1[[#This Row],[房租]]-テーブル1[[#This Row],[生活开支]]-テーブル1[[#This Row],[购房支出]]-テーブル1[[#This Row],[装修支出]]</f>
        <v>#VALUE!</v>
      </c>
    </row>
    <row r="15" spans="2:13" ht="16.5">
      <c r="B15" s="9">
        <v>46661</v>
      </c>
      <c r="C15" s="4" t="s">
        <v>8</v>
      </c>
      <c r="D15" s="4">
        <f t="shared" si="0"/>
        <v>22880</v>
      </c>
      <c r="E15" s="4">
        <f>3318</f>
        <v>3318</v>
      </c>
      <c r="F15" s="4">
        <v>6951</v>
      </c>
      <c r="G15" s="4">
        <v>2000</v>
      </c>
      <c r="H15" s="4">
        <v>3500</v>
      </c>
      <c r="I15" s="4" t="s">
        <v>8</v>
      </c>
      <c r="L15" s="4" t="e">
        <f>テーブル1[[#This Row],[现有资金]]+テーブル1[[#This Row],[工资进账（税后）]]+テーブル1[[#This Row],[公积金到账]]-テーブル1[[#This Row],[房贷月供]]-テーブル1[[#This Row],[车贷]]-テーブル1[[#This Row],[房租]]-テーブル1[[#This Row],[生活开支]]-テーブル1[[#This Row],[购房支出]]-テーブル1[[#This Row],[装修支出]]</f>
        <v>#VALUE!</v>
      </c>
    </row>
    <row r="16" spans="2:13" ht="16.5">
      <c r="B16" s="9">
        <v>46692</v>
      </c>
      <c r="C16" s="4" t="s">
        <v>8</v>
      </c>
      <c r="D16" s="4">
        <f t="shared" si="0"/>
        <v>22880</v>
      </c>
      <c r="E16" s="4">
        <f>3318</f>
        <v>3318</v>
      </c>
      <c r="F16" s="4">
        <v>6951</v>
      </c>
      <c r="G16" s="4">
        <v>2000</v>
      </c>
      <c r="H16" s="4">
        <v>0</v>
      </c>
      <c r="I16" s="4" t="s">
        <v>8</v>
      </c>
      <c r="L16" s="4" t="e">
        <f>テーブル1[[#This Row],[现有资金]]+テーブル1[[#This Row],[工资进账（税后）]]+テーブル1[[#This Row],[公积金到账]]-テーブル1[[#This Row],[房贷月供]]-テーブル1[[#This Row],[车贷]]-テーブル1[[#This Row],[房租]]-テーブル1[[#This Row],[生活开支]]-テーブル1[[#This Row],[购房支出]]-テーブル1[[#This Row],[装修支出]]</f>
        <v>#VALUE!</v>
      </c>
    </row>
    <row r="17" spans="2:12" ht="16.5">
      <c r="B17" s="9">
        <v>46722</v>
      </c>
      <c r="C17" s="4" t="s">
        <v>8</v>
      </c>
      <c r="D17" s="4">
        <f t="shared" si="0"/>
        <v>22880</v>
      </c>
      <c r="E17" s="4">
        <f>3318</f>
        <v>3318</v>
      </c>
      <c r="F17" s="4">
        <v>6951</v>
      </c>
      <c r="G17" s="4">
        <v>2000</v>
      </c>
      <c r="H17" s="4">
        <v>0</v>
      </c>
      <c r="I17" s="4" t="s">
        <v>8</v>
      </c>
      <c r="L17" s="4" t="e">
        <f>テーブル1[[#This Row],[现有资金]]+テーブル1[[#This Row],[工资进账（税后）]]+テーブル1[[#This Row],[公积金到账]]-テーブル1[[#This Row],[房贷月供]]-テーブル1[[#This Row],[车贷]]-テーブル1[[#This Row],[房租]]-テーブル1[[#This Row],[生活开支]]-テーブル1[[#This Row],[购房支出]]-テーブル1[[#This Row],[装修支出]]</f>
        <v>#VALUE!</v>
      </c>
    </row>
    <row r="18" spans="2:12" ht="16.5">
      <c r="B18" s="9">
        <v>46753</v>
      </c>
      <c r="C18" s="4" t="s">
        <v>8</v>
      </c>
      <c r="D18" s="4">
        <f t="shared" si="0"/>
        <v>22880</v>
      </c>
      <c r="E18" s="4">
        <f>3318</f>
        <v>3318</v>
      </c>
      <c r="F18" s="4">
        <v>6951</v>
      </c>
      <c r="G18" s="4">
        <v>2000</v>
      </c>
      <c r="H18" s="4">
        <v>0</v>
      </c>
      <c r="I18" s="4" t="s">
        <v>8</v>
      </c>
      <c r="L18" s="4" t="e">
        <f>テーブル1[[#This Row],[现有资金]]+テーブル1[[#This Row],[工资进账（税后）]]+テーブル1[[#This Row],[公积金到账]]-テーブル1[[#This Row],[房贷月供]]-テーブル1[[#This Row],[车贷]]-テーブル1[[#This Row],[房租]]-テーブル1[[#This Row],[生活开支]]-テーブル1[[#This Row],[购房支出]]-テーブル1[[#This Row],[装修支出]]</f>
        <v>#VALUE!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F3F3-F9B9-42FF-9761-53AD1B6BB7CE}">
  <dimension ref="A1:F14"/>
  <sheetViews>
    <sheetView workbookViewId="0">
      <selection activeCell="C5" sqref="C5"/>
    </sheetView>
  </sheetViews>
  <sheetFormatPr defaultRowHeight="14"/>
  <cols>
    <col min="2" max="2" width="4.08203125" bestFit="1" customWidth="1"/>
    <col min="3" max="3" width="16.08203125" customWidth="1"/>
    <col min="4" max="4" width="80.75" customWidth="1"/>
  </cols>
  <sheetData>
    <row r="1" spans="1:6">
      <c r="A1" s="3"/>
      <c r="B1" s="3"/>
      <c r="C1" s="3"/>
      <c r="D1" s="3"/>
      <c r="E1" s="3"/>
      <c r="F1" s="3"/>
    </row>
    <row r="2" spans="1:6">
      <c r="A2" s="3"/>
      <c r="B2" s="28" t="s">
        <v>68</v>
      </c>
      <c r="C2" s="28" t="s">
        <v>69</v>
      </c>
      <c r="D2" s="28" t="s">
        <v>70</v>
      </c>
      <c r="E2" s="3"/>
      <c r="F2" s="3"/>
    </row>
    <row r="3" spans="1:6">
      <c r="A3" s="3"/>
      <c r="B3" s="29">
        <v>1</v>
      </c>
      <c r="C3" s="29" t="s">
        <v>71</v>
      </c>
      <c r="D3" s="29" t="s">
        <v>72</v>
      </c>
      <c r="E3" s="3"/>
      <c r="F3" s="3"/>
    </row>
    <row r="4" spans="1:6">
      <c r="A4" s="3"/>
      <c r="B4" s="29">
        <v>2</v>
      </c>
      <c r="C4" s="29" t="s">
        <v>73</v>
      </c>
      <c r="D4" s="29" t="s">
        <v>74</v>
      </c>
      <c r="E4" s="3"/>
      <c r="F4" s="3"/>
    </row>
    <row r="5" spans="1:6">
      <c r="A5" s="3"/>
      <c r="B5" s="29">
        <v>3</v>
      </c>
      <c r="C5" s="29" t="s">
        <v>75</v>
      </c>
      <c r="D5" s="29" t="s">
        <v>76</v>
      </c>
      <c r="E5" s="3"/>
      <c r="F5" s="3"/>
    </row>
    <row r="6" spans="1:6">
      <c r="A6" s="3"/>
      <c r="B6" s="29">
        <v>4</v>
      </c>
      <c r="C6" s="29" t="s">
        <v>77</v>
      </c>
      <c r="D6" s="29" t="s">
        <v>78</v>
      </c>
      <c r="E6" s="3"/>
      <c r="F6" s="3"/>
    </row>
    <row r="7" spans="1:6" ht="28">
      <c r="A7" s="3"/>
      <c r="B7" s="29">
        <v>5</v>
      </c>
      <c r="C7" s="29" t="s">
        <v>79</v>
      </c>
      <c r="D7" s="29" t="s">
        <v>80</v>
      </c>
      <c r="E7" s="3"/>
      <c r="F7" s="3"/>
    </row>
    <row r="8" spans="1:6">
      <c r="A8" s="3"/>
      <c r="B8" s="29">
        <v>6</v>
      </c>
      <c r="C8" s="29" t="s">
        <v>81</v>
      </c>
      <c r="D8" s="29" t="s">
        <v>82</v>
      </c>
      <c r="E8" s="3"/>
      <c r="F8" s="3"/>
    </row>
    <row r="9" spans="1:6">
      <c r="A9" s="3"/>
      <c r="B9" s="29">
        <v>7</v>
      </c>
      <c r="C9" s="29" t="s">
        <v>83</v>
      </c>
      <c r="D9" s="29" t="s">
        <v>84</v>
      </c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时间线</vt:lpstr>
      <vt:lpstr>时间线总结</vt:lpstr>
      <vt:lpstr>购房资金流出</vt:lpstr>
      <vt:lpstr>装修预算（半包 全包对比）</vt:lpstr>
      <vt:lpstr>半包自购清单</vt:lpstr>
      <vt:lpstr>月度现金流时间线（核心表）</vt:lpstr>
      <vt:lpstr>关键提醒清单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蒋皓 / Jiang，Hao</dc:creator>
  <cp:lastModifiedBy>h J</cp:lastModifiedBy>
  <dcterms:created xsi:type="dcterms:W3CDTF">2026-10-26T02:53:33Z</dcterms:created>
  <dcterms:modified xsi:type="dcterms:W3CDTF">2026-10-27T16:02:12Z</dcterms:modified>
</cp:coreProperties>
</file>